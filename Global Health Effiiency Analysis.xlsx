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641017c93cb8d09/Desktop/DATA ANALYSIS FILE/EXCELs/"/>
    </mc:Choice>
  </mc:AlternateContent>
  <xr:revisionPtr revIDLastSave="0" documentId="8_{91E65E3B-D293-408A-A559-2E1E54D6E7F9}" xr6:coauthVersionLast="47" xr6:coauthVersionMax="47" xr10:uidLastSave="{00000000-0000-0000-0000-000000000000}"/>
  <bookViews>
    <workbookView xWindow="4470" yWindow="3210" windowWidth="21495" windowHeight="11190" xr2:uid="{00000000-000D-0000-FFFF-FFFF00000000}"/>
  </bookViews>
  <sheets>
    <sheet name="Cleaned_Dataset" sheetId="1" r:id="rId1"/>
    <sheet name="Original_Dataset" sheetId="3" r:id="rId2"/>
    <sheet name="Series - Meta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48576" i="1" l="1"/>
  <c r="F1048576" i="1"/>
  <c r="E104857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alcChain>
</file>

<file path=xl/sharedStrings.xml><?xml version="1.0" encoding="utf-8"?>
<sst xmlns="http://schemas.openxmlformats.org/spreadsheetml/2006/main" count="6447" uniqueCount="585">
  <si>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</si>
  <si>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St. Lucia</t>
  </si>
  <si>
    <t>Health: Mortality</t>
  </si>
  <si>
    <t>KAZ</t>
  </si>
  <si>
    <t>ECU</t>
  </si>
  <si>
    <t>HND</t>
  </si>
  <si>
    <t>HRV</t>
  </si>
  <si>
    <t>Germany</t>
  </si>
  <si>
    <t>Russian Federation</t>
  </si>
  <si>
    <t>MRT</t>
  </si>
  <si>
    <t>Netherlands</t>
  </si>
  <si>
    <t>Lao PDR</t>
  </si>
  <si>
    <t>SVN</t>
  </si>
  <si>
    <t>Global Health Expenditure Database, updated December 12th, 2025, World Health Organization (WHO), uri: https://apps.who.int/nha/database</t>
  </si>
  <si>
    <t>Chad</t>
  </si>
  <si>
    <t>RUS</t>
  </si>
  <si>
    <t>Slovenia</t>
  </si>
  <si>
    <t>GNQ</t>
  </si>
  <si>
    <t>MLI</t>
  </si>
  <si>
    <t>Nauru</t>
  </si>
  <si>
    <t>Topic</t>
  </si>
  <si>
    <t>Kiribati</t>
  </si>
  <si>
    <t>JPN</t>
  </si>
  <si>
    <t>HTI</t>
  </si>
  <si>
    <t>Timor-Leste</t>
  </si>
  <si>
    <t>Lebanon</t>
  </si>
  <si>
    <t>LIE</t>
  </si>
  <si>
    <t>Nepal</t>
  </si>
  <si>
    <t>CPV</t>
  </si>
  <si>
    <t>ROU</t>
  </si>
  <si>
    <t>NZL</t>
  </si>
  <si>
    <t>Ecuador</t>
  </si>
  <si>
    <t>TKM</t>
  </si>
  <si>
    <t>Zimbabwe</t>
  </si>
  <si>
    <t>Ethiopia</t>
  </si>
  <si>
    <t>Angola</t>
  </si>
  <si>
    <t>Somalia, Fed. Rep.</t>
  </si>
  <si>
    <t>United Arab Emirates</t>
  </si>
  <si>
    <t>EST</t>
  </si>
  <si>
    <t>BRB</t>
  </si>
  <si>
    <t>USA</t>
  </si>
  <si>
    <t>MAR</t>
  </si>
  <si>
    <t>DEU</t>
  </si>
  <si>
    <t>TTO</t>
  </si>
  <si>
    <t>KIR</t>
  </si>
  <si>
    <t>Montenegro</t>
  </si>
  <si>
    <t>CRI</t>
  </si>
  <si>
    <t>YEM</t>
  </si>
  <si>
    <t>GIN</t>
  </si>
  <si>
    <t>Switzerland</t>
  </si>
  <si>
    <t>Turkiye</t>
  </si>
  <si>
    <t>Peru</t>
  </si>
  <si>
    <t>NRU</t>
  </si>
  <si>
    <t>NPL</t>
  </si>
  <si>
    <t>Equatorial Guinea</t>
  </si>
  <si>
    <t>Current health expenditure per capita (current US$) [SH.XPD.CHEX.PC.CD]</t>
  </si>
  <si>
    <t>MDV</t>
  </si>
  <si>
    <t>Iceland</t>
  </si>
  <si>
    <t>Bhutan</t>
  </si>
  <si>
    <t>Marshall Islands</t>
  </si>
  <si>
    <t>Myanmar</t>
  </si>
  <si>
    <t>IRN</t>
  </si>
  <si>
    <t>Botswana</t>
  </si>
  <si>
    <t>South Sudan</t>
  </si>
  <si>
    <t>Liechtenstein</t>
  </si>
  <si>
    <t>Bulgaria</t>
  </si>
  <si>
    <t>MLT</t>
  </si>
  <si>
    <t>Central African Republic</t>
  </si>
  <si>
    <t>GNB</t>
  </si>
  <si>
    <t>Yemen, Rep.</t>
  </si>
  <si>
    <t>Cameroon</t>
  </si>
  <si>
    <t>TUN</t>
  </si>
  <si>
    <t>Guinea-Bissau</t>
  </si>
  <si>
    <t>PER</t>
  </si>
  <si>
    <t>SDN</t>
  </si>
  <si>
    <t>BOL</t>
  </si>
  <si>
    <t>Sudan</t>
  </si>
  <si>
    <t>Guatemala</t>
  </si>
  <si>
    <t>AND</t>
  </si>
  <si>
    <t>SYC</t>
  </si>
  <si>
    <t>POL</t>
  </si>
  <si>
    <t>Fiji</t>
  </si>
  <si>
    <t>South Africa</t>
  </si>
  <si>
    <t>Portugal</t>
  </si>
  <si>
    <t>Slovak Republic</t>
  </si>
  <si>
    <t>Tuvalu</t>
  </si>
  <si>
    <t>Dominica</t>
  </si>
  <si>
    <t>SH.XPD.CHEX.PC.CD</t>
  </si>
  <si>
    <t>MWI</t>
  </si>
  <si>
    <t>NOR</t>
  </si>
  <si>
    <t>Kuwait</t>
  </si>
  <si>
    <t>DOM</t>
  </si>
  <si>
    <t>KEN</t>
  </si>
  <si>
    <t>LVA</t>
  </si>
  <si>
    <t>Mongolia</t>
  </si>
  <si>
    <t>New Zealand</t>
  </si>
  <si>
    <t>ARM</t>
  </si>
  <si>
    <t>Panama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</si>
  <si>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</si>
  <si>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CAN</t>
  </si>
  <si>
    <t>MDG</t>
  </si>
  <si>
    <t>Togo</t>
  </si>
  <si>
    <t>Latvia</t>
  </si>
  <si>
    <t>Sri Lanka</t>
  </si>
  <si>
    <t>Code</t>
  </si>
  <si>
    <t>NAM</t>
  </si>
  <si>
    <t>ALB</t>
  </si>
  <si>
    <t>Singapore</t>
  </si>
  <si>
    <t>Periodicity</t>
  </si>
  <si>
    <t>Finland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</si>
  <si>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</si>
  <si>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</si>
  <si>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</si>
  <si>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</si>
  <si>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</si>
  <si>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</si>
  <si>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</si>
  <si>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</si>
  <si>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</si>
  <si>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</si>
  <si>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</si>
  <si>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</si>
  <si>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</si>
  <si>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</si>
  <si>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</si>
  <si>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</si>
  <si>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</si>
  <si>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</si>
  <si>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</si>
  <si>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</si>
  <si>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Moldova</t>
  </si>
  <si>
    <t>San Marino</t>
  </si>
  <si>
    <t>SGP</t>
  </si>
  <si>
    <t>Annual</t>
  </si>
  <si>
    <t>Ireland</t>
  </si>
  <si>
    <t>CHN</t>
  </si>
  <si>
    <t>BRN</t>
  </si>
  <si>
    <t>AZE</t>
  </si>
  <si>
    <t>BRA</t>
  </si>
  <si>
    <t>Tanzania</t>
  </si>
  <si>
    <t>Weighted average</t>
  </si>
  <si>
    <t>ATG</t>
  </si>
  <si>
    <t>Israel</t>
  </si>
  <si>
    <t>IND</t>
  </si>
  <si>
    <t>LBR</t>
  </si>
  <si>
    <t>Antigua and Barbuda</t>
  </si>
  <si>
    <t>SRB</t>
  </si>
  <si>
    <t>TJK</t>
  </si>
  <si>
    <t>URY</t>
  </si>
  <si>
    <t>Argentina</t>
  </si>
  <si>
    <t>Cote d'Ivoire</t>
  </si>
  <si>
    <t>Cyprus</t>
  </si>
  <si>
    <t>CIV</t>
  </si>
  <si>
    <t>Grenada</t>
  </si>
  <si>
    <t>BDI</t>
  </si>
  <si>
    <t>BTN</t>
  </si>
  <si>
    <t>CHE</t>
  </si>
  <si>
    <t>Japan</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</si>
  <si>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</si>
  <si>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</si>
  <si>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</si>
  <si>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</si>
  <si>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</si>
  <si>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</si>
  <si>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</si>
  <si>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</si>
  <si>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</si>
  <si>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</si>
  <si>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</si>
  <si>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</si>
  <si>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</si>
  <si>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</si>
  <si>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</si>
  <si>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</si>
  <si>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</si>
  <si>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</si>
  <si>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</si>
  <si>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</si>
  <si>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CAF</t>
  </si>
  <si>
    <t>Malta</t>
  </si>
  <si>
    <t>Life expectancy at birth indicates the number of years a newborn infant would live if prevailing patterns of mortality at the time of its birth were to stay the same throughout its life.</t>
  </si>
  <si>
    <t>Indicator Name</t>
  </si>
  <si>
    <t>PLW</t>
  </si>
  <si>
    <t>CHL</t>
  </si>
  <si>
    <t>Benin</t>
  </si>
  <si>
    <t>SP.DYN.LE00.IN</t>
  </si>
  <si>
    <t>Haiti</t>
  </si>
  <si>
    <t>GBR</t>
  </si>
  <si>
    <t>HUN</t>
  </si>
  <si>
    <t>BGD</t>
  </si>
  <si>
    <t>Norway</t>
  </si>
  <si>
    <t>Eritrea</t>
  </si>
  <si>
    <t>Uganda</t>
  </si>
  <si>
    <t>Austria</t>
  </si>
  <si>
    <t>NIC</t>
  </si>
  <si>
    <t>SSD</t>
  </si>
  <si>
    <t>Iran, Islamic Rep.</t>
  </si>
  <si>
    <t>Cambodia</t>
  </si>
  <si>
    <t>United Kingdom</t>
  </si>
  <si>
    <t>Malaysia</t>
  </si>
  <si>
    <t>Guinea</t>
  </si>
  <si>
    <t>Statistical concept and methodology</t>
  </si>
  <si>
    <t>Source</t>
  </si>
  <si>
    <t>Liberia</t>
  </si>
  <si>
    <t>United States</t>
  </si>
  <si>
    <t>LAO</t>
  </si>
  <si>
    <t>Micronesia, Fed. Sts.</t>
  </si>
  <si>
    <t>SWZ</t>
  </si>
  <si>
    <t>ZWE</t>
  </si>
  <si>
    <t>Czechia</t>
  </si>
  <si>
    <t>PHL</t>
  </si>
  <si>
    <t>Burkina Faso</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</si>
  <si>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</si>
  <si>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</si>
  <si>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</si>
  <si>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</si>
  <si>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</si>
  <si>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</si>
  <si>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</si>
  <si>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</si>
  <si>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</si>
  <si>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</si>
  <si>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</si>
  <si>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</si>
  <si>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</si>
  <si>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</si>
  <si>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</si>
  <si>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</si>
  <si>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</si>
  <si>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</si>
  <si>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</si>
  <si>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</si>
  <si>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Oman</t>
  </si>
  <si>
    <t>DZA</t>
  </si>
  <si>
    <t>BHS</t>
  </si>
  <si>
    <t>Monaco</t>
  </si>
  <si>
    <t>AUT</t>
  </si>
  <si>
    <t>Bahamas, The</t>
  </si>
  <si>
    <t>Current expenditures on health per capita in current US dollars. Estimates of current health expenditures include healthcare goods and services consumed during each year.</t>
  </si>
  <si>
    <t>AFG</t>
  </si>
  <si>
    <t>Palau</t>
  </si>
  <si>
    <t>UZB</t>
  </si>
  <si>
    <t>Maldives</t>
  </si>
  <si>
    <t>Mauritania</t>
  </si>
  <si>
    <t>Limitations and exceptions</t>
  </si>
  <si>
    <t>QAT</t>
  </si>
  <si>
    <t>El Salvador</t>
  </si>
  <si>
    <t>Qatar</t>
  </si>
  <si>
    <t>Honduras</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</si>
  <si>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</si>
  <si>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Costa Rica</t>
  </si>
  <si>
    <t>ITA</t>
  </si>
  <si>
    <t>BGR</t>
  </si>
  <si>
    <t>Eswatini</t>
  </si>
  <si>
    <t>MNG</t>
  </si>
  <si>
    <t>BFA</t>
  </si>
  <si>
    <t>TCD</t>
  </si>
  <si>
    <t>SOM</t>
  </si>
  <si>
    <t>TUR</t>
  </si>
  <si>
    <t>UKR</t>
  </si>
  <si>
    <t>GUY</t>
  </si>
  <si>
    <t>GAB</t>
  </si>
  <si>
    <t>AGO</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</si>
  <si>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</si>
  <si>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</si>
  <si>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</si>
  <si>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</si>
  <si>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</si>
  <si>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</si>
  <si>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</si>
  <si>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</si>
  <si>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</si>
  <si>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</si>
  <si>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</si>
  <si>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</si>
  <si>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</si>
  <si>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</si>
  <si>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</si>
  <si>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</si>
  <si>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</si>
  <si>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</si>
  <si>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</si>
  <si>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</si>
  <si>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</si>
  <si>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</si>
  <si>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</si>
  <si>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</si>
  <si>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</si>
  <si>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</si>
  <si>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Life expectancy at birth, total (years)</t>
  </si>
  <si>
    <t>PAK</t>
  </si>
  <si>
    <t>Sao Tome and Principe</t>
  </si>
  <si>
    <t>Greece</t>
  </si>
  <si>
    <t>Philippines</t>
  </si>
  <si>
    <t>Annual data series from United Nations Population Division's World Population Prospects are interpolated data from 5-year period data. Therefore they may not reflect real events as much as observed data.</t>
  </si>
  <si>
    <t>SWE</t>
  </si>
  <si>
    <t>TON</t>
  </si>
  <si>
    <t>CUB</t>
  </si>
  <si>
    <t>ESP</t>
  </si>
  <si>
    <t>Current health expenditure per capita (current US$)</t>
  </si>
  <si>
    <t>ETH</t>
  </si>
  <si>
    <t>JAM</t>
  </si>
  <si>
    <t>MNE</t>
  </si>
  <si>
    <t>Romania</t>
  </si>
  <si>
    <t>BLZ</t>
  </si>
  <si>
    <t>Spain</t>
  </si>
  <si>
    <t>https://datacatalog.worldbank.org/public-licenses#cc-by</t>
  </si>
  <si>
    <t>LKA</t>
  </si>
  <si>
    <t>COD</t>
  </si>
  <si>
    <t>Bolivia</t>
  </si>
  <si>
    <t>Canada</t>
  </si>
  <si>
    <t>Bangladesh</t>
  </si>
  <si>
    <t>MOZ</t>
  </si>
  <si>
    <t>SMR</t>
  </si>
  <si>
    <t>Kyrgyz Republic</t>
  </si>
  <si>
    <t>UGA</t>
  </si>
  <si>
    <t>France</t>
  </si>
  <si>
    <t>KHM</t>
  </si>
  <si>
    <t>OMN</t>
  </si>
  <si>
    <t>Afghanistan</t>
  </si>
  <si>
    <t>Suriname</t>
  </si>
  <si>
    <t>Turkmenistan</t>
  </si>
  <si>
    <t>Viet Nam</t>
  </si>
  <si>
    <t>IDN</t>
  </si>
  <si>
    <t>License Type</t>
  </si>
  <si>
    <t>LSO</t>
  </si>
  <si>
    <t>LUX</t>
  </si>
  <si>
    <t>BEN</t>
  </si>
  <si>
    <t>Lithuania</t>
  </si>
  <si>
    <t>St. Vincent and the Grenadines</t>
  </si>
  <si>
    <t>St. Kitts and Nevis</t>
  </si>
  <si>
    <t>Year</t>
  </si>
  <si>
    <t>Colombia</t>
  </si>
  <si>
    <t>GRC</t>
  </si>
  <si>
    <t>Saudi Arabia</t>
  </si>
  <si>
    <t>Australia</t>
  </si>
  <si>
    <t>VUT</t>
  </si>
  <si>
    <t>ISR</t>
  </si>
  <si>
    <t>SVK</t>
  </si>
  <si>
    <t>LCA</t>
  </si>
  <si>
    <t>FIN</t>
  </si>
  <si>
    <t>Samoa</t>
  </si>
  <si>
    <t>AUS</t>
  </si>
  <si>
    <t>Sweden</t>
  </si>
  <si>
    <t>IRQ</t>
  </si>
  <si>
    <t>Health: Health systems</t>
  </si>
  <si>
    <t>Papua New Guinea</t>
  </si>
  <si>
    <t>Lesotho</t>
  </si>
  <si>
    <t>FJI</t>
  </si>
  <si>
    <t>Italy</t>
  </si>
  <si>
    <t>PNG</t>
  </si>
  <si>
    <t>PRY</t>
  </si>
  <si>
    <t>Libya</t>
  </si>
  <si>
    <t>Azerbaijan</t>
  </si>
  <si>
    <t>Tonga</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</si>
  <si>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</si>
  <si>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Bahrain</t>
  </si>
  <si>
    <t>Brazil</t>
  </si>
  <si>
    <t>Belarus</t>
  </si>
  <si>
    <t>ISL</t>
  </si>
  <si>
    <t>NLD</t>
  </si>
  <si>
    <t>Malawi</t>
  </si>
  <si>
    <t>TZA</t>
  </si>
  <si>
    <t>MMR</t>
  </si>
  <si>
    <t>BEL</t>
  </si>
  <si>
    <t>Vanuatu</t>
  </si>
  <si>
    <t>Belgium</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</si>
  <si>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</si>
  <si>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SLB</t>
  </si>
  <si>
    <t>MEX</t>
  </si>
  <si>
    <t>MCO</t>
  </si>
  <si>
    <t>Trinidad and Tobago</t>
  </si>
  <si>
    <t>BLR</t>
  </si>
  <si>
    <t>Jordan</t>
  </si>
  <si>
    <t>Namibia</t>
  </si>
  <si>
    <t>Belize</t>
  </si>
  <si>
    <t>LTU</t>
  </si>
  <si>
    <t>MHL</t>
  </si>
  <si>
    <t>Niger</t>
  </si>
  <si>
    <t>EGY</t>
  </si>
  <si>
    <t>CYP</t>
  </si>
  <si>
    <t>ZMB</t>
  </si>
  <si>
    <t>NER</t>
  </si>
  <si>
    <t>Hungary</t>
  </si>
  <si>
    <t>BIH</t>
  </si>
  <si>
    <t>Kazakhstan</t>
  </si>
  <si>
    <t>FRA</t>
  </si>
  <si>
    <t>CC BY-4.0</t>
  </si>
  <si>
    <t>Comoros</t>
  </si>
  <si>
    <t>SLV</t>
  </si>
  <si>
    <t>Mauritius</t>
  </si>
  <si>
    <t>Mexico</t>
  </si>
  <si>
    <t>India</t>
  </si>
  <si>
    <t>ZAF</t>
  </si>
  <si>
    <t>Madagascar</t>
  </si>
  <si>
    <t>RWA</t>
  </si>
  <si>
    <t>Morocco</t>
  </si>
  <si>
    <t>Country Code</t>
  </si>
  <si>
    <t>LBN</t>
  </si>
  <si>
    <t>MDA</t>
  </si>
  <si>
    <t>Aggregation method</t>
  </si>
  <si>
    <t>DMA</t>
  </si>
  <si>
    <t>GMB</t>
  </si>
  <si>
    <t>Pakistan</t>
  </si>
  <si>
    <t>Burundi</t>
  </si>
  <si>
    <t>COG</t>
  </si>
  <si>
    <t>Croatia</t>
  </si>
  <si>
    <t>FSM</t>
  </si>
  <si>
    <t>MYS</t>
  </si>
  <si>
    <t>KNA</t>
  </si>
  <si>
    <t>Development relevance</t>
  </si>
  <si>
    <t>Life expectancy at birth, total (years) [SP.DYN.LE00.IN]</t>
  </si>
  <si>
    <t>Thailand</t>
  </si>
  <si>
    <t>Chile</t>
  </si>
  <si>
    <t>Serbia</t>
  </si>
  <si>
    <t>TUV</t>
  </si>
  <si>
    <t>VNM</t>
  </si>
  <si>
    <t>Tunisia</t>
  </si>
  <si>
    <t>Health Efficiency</t>
  </si>
  <si>
    <t>Health Efficiency *1000</t>
  </si>
  <si>
    <t>Series Name</t>
  </si>
  <si>
    <t>Series Code</t>
  </si>
  <si>
    <t>2015 [YR2015]</t>
  </si>
  <si>
    <t>2016 [YR2016]</t>
  </si>
  <si>
    <t>2017 [YR2017]</t>
  </si>
  <si>
    <t>2018 [YR2018]</t>
  </si>
  <si>
    <t>2019 [YR2019]</t>
  </si>
  <si>
    <t>2020 [YR2020]</t>
  </si>
  <si>
    <t>2021 [YR2021]</t>
  </si>
  <si>
    <t>2022 [YR2022]</t>
  </si>
  <si>
    <t>2023 [YR2023]</t>
  </si>
  <si>
    <t>2024 [YR2024]</t>
  </si>
  <si>
    <t>..</t>
  </si>
  <si>
    <t>Africa Eastern and Southern</t>
  </si>
  <si>
    <t>AFE</t>
  </si>
  <si>
    <t>Africa Western and Central</t>
  </si>
  <si>
    <t>AFW</t>
  </si>
  <si>
    <t>American Samoa</t>
  </si>
  <si>
    <t>ASM</t>
  </si>
  <si>
    <t>Arab World</t>
  </si>
  <si>
    <t>ARB</t>
  </si>
  <si>
    <t>Aruba</t>
  </si>
  <si>
    <t>ABW</t>
  </si>
  <si>
    <t>Bermuda</t>
  </si>
  <si>
    <t>BMU</t>
  </si>
  <si>
    <t>British Virgin Islands</t>
  </si>
  <si>
    <t>VGB</t>
  </si>
  <si>
    <t>Caribbean small states</t>
  </si>
  <si>
    <t>CSS</t>
  </si>
  <si>
    <t>Cayman Islands</t>
  </si>
  <si>
    <t>CYM</t>
  </si>
  <si>
    <t>Central Europe and the Baltics</t>
  </si>
  <si>
    <t>CEB</t>
  </si>
  <si>
    <t>Channel Islands</t>
  </si>
  <si>
    <t>CHI</t>
  </si>
  <si>
    <t>Curacao</t>
  </si>
  <si>
    <t>CUW</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</si>
  <si>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</si>
  <si>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</si>
  <si>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</si>
  <si>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</si>
  <si>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</si>
  <si>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</si>
  <si>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</si>
  <si>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</si>
  <si>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</si>
  <si>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</si>
  <si>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</si>
  <si>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</si>
  <si>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</si>
  <si>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</si>
  <si>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</si>
  <si>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</si>
  <si>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</si>
  <si>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</si>
  <si>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Faroe Islands</t>
  </si>
  <si>
    <t>FRO</t>
  </si>
  <si>
    <t>Fragile and conflict affected situations</t>
  </si>
  <si>
    <t>FCS</t>
  </si>
  <si>
    <t>French Polynesia</t>
  </si>
  <si>
    <t>PYF</t>
  </si>
  <si>
    <t>Gibraltar</t>
  </si>
  <si>
    <t>GIB</t>
  </si>
  <si>
    <t>Greenland</t>
  </si>
  <si>
    <t>GRL</t>
  </si>
  <si>
    <t>Guam</t>
  </si>
  <si>
    <t>GUM</t>
  </si>
  <si>
    <t>Heavily indebted poor countries (HIPC)</t>
  </si>
  <si>
    <t>HPC</t>
  </si>
  <si>
    <t>High income</t>
  </si>
  <si>
    <t>HIC</t>
  </si>
  <si>
    <t>Hong Kong SAR, China</t>
  </si>
  <si>
    <t>HKG</t>
  </si>
  <si>
    <t>IBRD only</t>
  </si>
  <si>
    <t>IBD</t>
  </si>
  <si>
    <t>IDA &amp; IBRD total</t>
  </si>
  <si>
    <t>IBT</t>
  </si>
  <si>
    <t>IDA blend</t>
  </si>
  <si>
    <t>IDB</t>
  </si>
  <si>
    <t>IDA only</t>
  </si>
  <si>
    <t>IDX</t>
  </si>
  <si>
    <t>IDA total</t>
  </si>
  <si>
    <t>IDA</t>
  </si>
  <si>
    <t>Isle of Man</t>
  </si>
  <si>
    <t>IMN</t>
  </si>
  <si>
    <t>Korea, Dem. People's Rep.</t>
  </si>
  <si>
    <t>PRK</t>
  </si>
  <si>
    <t>Kosovo</t>
  </si>
  <si>
    <t>XKX</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</si>
  <si>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</si>
  <si>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</si>
  <si>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</si>
  <si>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</si>
  <si>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</si>
  <si>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</si>
  <si>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</si>
  <si>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</si>
  <si>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</si>
  <si>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</si>
  <si>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</si>
  <si>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</si>
  <si>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</si>
  <si>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</si>
  <si>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</si>
  <si>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</si>
  <si>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Macao SAR, China</t>
  </si>
  <si>
    <t>MAC</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</si>
  <si>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</si>
  <si>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</si>
  <si>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</si>
  <si>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</si>
  <si>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</si>
  <si>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</si>
  <si>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</si>
  <si>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</si>
  <si>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New Caledonia</t>
  </si>
  <si>
    <t>NCL</t>
  </si>
  <si>
    <t>North America</t>
  </si>
  <si>
    <t>NAC</t>
  </si>
  <si>
    <t>Northern Mariana Islands</t>
  </si>
  <si>
    <t>MNP</t>
  </si>
  <si>
    <t>Not classified</t>
  </si>
  <si>
    <t>INX</t>
  </si>
  <si>
    <t>OECD members</t>
  </si>
  <si>
    <t>OED</t>
  </si>
  <si>
    <t>Other small states</t>
  </si>
  <si>
    <t>OSS</t>
  </si>
  <si>
    <t>Pacific island small states</t>
  </si>
  <si>
    <t>PSS</t>
  </si>
  <si>
    <t>Post-demographic dividend</t>
  </si>
  <si>
    <t>PST</t>
  </si>
  <si>
    <t>Pre-demographic dividend</t>
  </si>
  <si>
    <t>PRE</t>
  </si>
  <si>
    <t>Puerto Rico (US)</t>
  </si>
  <si>
    <t>PRI</t>
  </si>
  <si>
    <t>Sint Maarten (Dutch part)</t>
  </si>
  <si>
    <t>SXM</t>
  </si>
  <si>
    <t>Small states</t>
  </si>
  <si>
    <t>SST</t>
  </si>
  <si>
    <t>South Asia</t>
  </si>
  <si>
    <t>SAS</t>
  </si>
  <si>
    <t>South Asia (IDA &amp; IBRD)</t>
  </si>
  <si>
    <t>TSA</t>
  </si>
  <si>
    <t>St. Martin (French part)</t>
  </si>
  <si>
    <t>MAF</t>
  </si>
  <si>
    <t>Sub-Saharan Africa</t>
  </si>
  <si>
    <t>SSF</t>
  </si>
  <si>
    <t>Sub-Saharan Africa (excluding high income)</t>
  </si>
  <si>
    <t>SSA</t>
  </si>
  <si>
    <t>Sub-Saharan Africa (IDA &amp; IBRD countries)</t>
  </si>
  <si>
    <t>TSS</t>
  </si>
  <si>
    <t>Syrian Arab Republic</t>
  </si>
  <si>
    <t>SYR</t>
  </si>
  <si>
    <t>Turks and Caicos Islands</t>
  </si>
  <si>
    <t>TCA</t>
  </si>
  <si>
    <t>Upper middle income</t>
  </si>
  <si>
    <t>UMC</t>
  </si>
  <si>
    <t>Virgin Islands (U.S.)</t>
  </si>
  <si>
    <t>VIR</t>
  </si>
  <si>
    <t>West Bank and Gaza</t>
  </si>
  <si>
    <t>PSE</t>
  </si>
  <si>
    <t>World</t>
  </si>
  <si>
    <t>WLD</t>
  </si>
  <si>
    <t>Data from database: Health Nutrition and Population Statistics</t>
  </si>
  <si>
    <t>Last Updated: 02/02/2026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</si>
</sst>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409]* #,##0.00_ ;_-[$$-409]* \-#,##0.00\ ;_-[$$-409]* &quot;-&quot;??_ ;_-@_ "/>
    <numFmt numFmtId="165" formatCode="_-[$$-409]* #,##0.000_ ;_-[$$-409]* \-#,##0.000\ ;_-[$$-409]* &quot;-&quot;??_ ;_-@_ "/>
    <numFmt numFmtId="166" formatCode="0.000"/>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49"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applyAlignment="1">
      <alignment horizontal="right" vertical="center"/>
    </xf>
    <xf numFmtId="49" fontId="0" fillId="0" borderId="0" xfId="0" applyNumberFormat="1" applyAlignment="1">
      <alignment horizontal="right" vertical="center"/>
    </xf>
    <xf numFmtId="164" fontId="0" fillId="0" borderId="0" xfId="0" applyNumberFormat="1" applyAlignment="1">
      <alignment horizontal="right" vertical="center"/>
    </xf>
    <xf numFmtId="164" fontId="0" fillId="0" borderId="0" xfId="1" applyNumberFormat="1" applyFont="1" applyAlignment="1">
      <alignment horizontal="right" vertical="center"/>
    </xf>
    <xf numFmtId="166" fontId="0" fillId="0" borderId="0" xfId="0" applyNumberFormat="1"/>
    <xf numFmtId="166" fontId="0" fillId="0" borderId="0" xfId="0" applyNumberFormat="1" applyAlignment="1">
      <alignment horizontal="right" vertical="center"/>
    </xf>
    <xf numFmtId="1" fontId="0" fillId="0" borderId="0" xfId="0" applyNumberFormat="1" applyAlignment="1">
      <alignment horizontal="right" vertical="center"/>
    </xf>
  </cellXfs>
  <cellStyles count="2">
    <cellStyle name="Currency" xfId="1" builtinId="4"/>
    <cellStyle name="Normal" xfId="0" builtinId="0"/>
  </cellStyles>
  <dxfs count="4">
    <dxf>
      <numFmt numFmtId="164" formatCode="_-[$$-409]* #,##0.00_ ;_-[$$-409]* \-#,##0.00\ ;_-[$$-409]* &quot;-&quot;??_ ;_-@_ "/>
    </dxf>
    <dxf>
      <numFmt numFmtId="0" formatCode="General"/>
    </dxf>
    <dxf>
      <numFmt numFmtId="165" formatCode="_-[$$-409]* #,##0.000_ ;_-[$$-409]* \-#,##0.000\ ;_-[$$-409]* &quot;-&quot;??_ ;_-@_ "/>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A9679-A0C7-498C-905F-5329D792D5B1}" name="Table1" displayName="Table1" ref="A1:G1913" totalsRowShown="0">
  <autoFilter ref="A1:G1913" xr:uid="{C53A9679-A0C7-498C-905F-5329D792D5B1}">
    <filterColumn colId="2">
      <customFilters>
        <customFilter operator="notEqual" val=" "/>
      </customFilters>
    </filterColumn>
  </autoFilter>
  <sortState xmlns:xlrd2="http://schemas.microsoft.com/office/spreadsheetml/2017/richdata2" ref="A2:E1913">
    <sortCondition ref="A2:A1913"/>
  </sortState>
  <tableColumns count="7">
    <tableColumn id="3" xr3:uid="{8AAC629C-779E-43ED-8535-66DCAA263FC2}" name="Country Name"/>
    <tableColumn id="8" xr3:uid="{11622424-9AA3-43DD-8E55-0B022DADF3C2}" name="Country Code" dataDxfId="3"/>
    <tableColumn id="7" xr3:uid="{C1CB2AAF-7D52-4E55-A9F1-B84FFDCE8810}" name="Year"/>
    <tableColumn id="9" xr3:uid="{A53AAACC-7DDF-453B-8938-68E81877A639}" name="Current health expenditure per capita (current US$) [SH.XPD.CHEX.PC.CD]" dataDxfId="2"/>
    <tableColumn id="5" xr3:uid="{D9E8A483-4E95-4B30-9168-9AFFDDE62979}" name="Life expectancy at birth, total (years) [SP.DYN.LE00.IN]"/>
    <tableColumn id="10" xr3:uid="{0829325C-69F1-4554-8A46-10CD0240546F}" name="Health Efficiency" dataDxfId="1">
      <calculatedColumnFormula>Table1[[#This Row],[Life expectancy at birth, total (years) '[SP.DYN.LE00.IN']]]/Table1[[#This Row],[Current health expenditure per capita (current US$) '[SH.XPD.CHEX.PC.CD']]]</calculatedColumnFormula>
    </tableColumn>
    <tableColumn id="11" xr3:uid="{F524762B-47BB-463A-A593-943F495CBA38}" name="Health Efficiency *1000" dataDxfId="0">
      <calculatedColumnFormula>Table1[[#This Row],[Life expectancy at birth, total (years) '[SP.DYN.LE00.IN']]]/Table1[[#This Row],[Current health expenditure per capita (current US$) '[SH.XPD.CHEX.PC.CD']]]*1000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8576"/>
  <sheetViews>
    <sheetView tabSelected="1" zoomScale="60" zoomScaleNormal="60" workbookViewId="0">
      <selection activeCell="P14" sqref="P14"/>
    </sheetView>
  </sheetViews>
  <sheetFormatPr defaultRowHeight="15" x14ac:dyDescent="0.25"/>
  <cols>
    <col min="1" max="3" width="27.42578125" customWidth="1"/>
    <col min="4" max="4" width="67.42578125" style="2" bestFit="1" customWidth="1"/>
    <col min="5" max="5" width="64.85546875" style="4" customWidth="1"/>
    <col min="6" max="6" width="25.7109375" style="9" bestFit="1" customWidth="1"/>
    <col min="7" max="7" width="22.85546875" style="4" bestFit="1" customWidth="1"/>
  </cols>
  <sheetData>
    <row r="1" spans="1:7" x14ac:dyDescent="0.25">
      <c r="A1" t="s">
        <v>285</v>
      </c>
      <c r="B1" s="1" t="s">
        <v>397</v>
      </c>
      <c r="C1" t="s">
        <v>331</v>
      </c>
      <c r="D1" s="2" t="s">
        <v>55</v>
      </c>
      <c r="E1" s="4" t="s">
        <v>411</v>
      </c>
      <c r="F1" s="9" t="s">
        <v>418</v>
      </c>
      <c r="G1" s="4" t="s">
        <v>419</v>
      </c>
    </row>
    <row r="2" spans="1:7" x14ac:dyDescent="0.25">
      <c r="A2" s="5" t="s">
        <v>319</v>
      </c>
      <c r="B2" s="6" t="s">
        <v>239</v>
      </c>
      <c r="C2" s="5">
        <v>2015</v>
      </c>
      <c r="D2" s="7">
        <v>59.919605259999997</v>
      </c>
      <c r="E2" s="11">
        <v>62.27</v>
      </c>
      <c r="F2" s="10">
        <f>Table1[[#This Row],[Life expectancy at birth, total (years) '[SP.DYN.LE00.IN']]]/Table1[[#This Row],[Current health expenditure per capita (current US$) '[SH.XPD.CHEX.PC.CD']]]</f>
        <v>1.0392258048063117</v>
      </c>
      <c r="G2" s="4">
        <f>Table1[[#This Row],[Life expectancy at birth, total (years) '[SP.DYN.LE00.IN']]]/Table1[[#This Row],[Current health expenditure per capita (current US$) '[SH.XPD.CHEX.PC.CD']]]*1000</f>
        <v>1039.2258048063118</v>
      </c>
    </row>
    <row r="3" spans="1:7" x14ac:dyDescent="0.25">
      <c r="A3" s="5" t="s">
        <v>319</v>
      </c>
      <c r="B3" s="6" t="s">
        <v>239</v>
      </c>
      <c r="C3" s="5">
        <v>2016</v>
      </c>
      <c r="D3" s="7">
        <v>61.37234497</v>
      </c>
      <c r="E3" s="11">
        <v>62.646000000000001</v>
      </c>
      <c r="F3" s="10">
        <f>Table1[[#This Row],[Life expectancy at birth, total (years) '[SP.DYN.LE00.IN']]]/Table1[[#This Row],[Current health expenditure per capita (current US$) '[SH.XPD.CHEX.PC.CD']]]</f>
        <v>1.0207529145354082</v>
      </c>
      <c r="G3" s="4">
        <f>Table1[[#This Row],[Life expectancy at birth, total (years) '[SP.DYN.LE00.IN']]]/Table1[[#This Row],[Current health expenditure per capita (current US$) '[SH.XPD.CHEX.PC.CD']]]*1000</f>
        <v>1020.7529145354082</v>
      </c>
    </row>
    <row r="4" spans="1:7" x14ac:dyDescent="0.25">
      <c r="A4" s="5" t="s">
        <v>319</v>
      </c>
      <c r="B4" s="6" t="s">
        <v>239</v>
      </c>
      <c r="C4" s="5">
        <v>2017</v>
      </c>
      <c r="D4" s="7">
        <v>66.82388306</v>
      </c>
      <c r="E4" s="11">
        <v>62.405999999999999</v>
      </c>
      <c r="F4" s="10">
        <f>Table1[[#This Row],[Life expectancy at birth, total (years) '[SP.DYN.LE00.IN']]]/Table1[[#This Row],[Current health expenditure per capita (current US$) '[SH.XPD.CHEX.PC.CD']]]</f>
        <v>0.93388766324708694</v>
      </c>
      <c r="G4" s="4">
        <f>Table1[[#This Row],[Life expectancy at birth, total (years) '[SP.DYN.LE00.IN']]]/Table1[[#This Row],[Current health expenditure per capita (current US$) '[SH.XPD.CHEX.PC.CD']]]*1000</f>
        <v>933.88766324708695</v>
      </c>
    </row>
    <row r="5" spans="1:7" x14ac:dyDescent="0.25">
      <c r="A5" s="5" t="s">
        <v>319</v>
      </c>
      <c r="B5" s="6" t="s">
        <v>239</v>
      </c>
      <c r="C5" s="5">
        <v>2018</v>
      </c>
      <c r="D5" s="7">
        <v>71.225090030000004</v>
      </c>
      <c r="E5" s="11">
        <v>62.442999999999998</v>
      </c>
      <c r="F5" s="10">
        <f>Table1[[#This Row],[Life expectancy at birth, total (years) '[SP.DYN.LE00.IN']]]/Table1[[#This Row],[Current health expenditure per capita (current US$) '[SH.XPD.CHEX.PC.CD']]]</f>
        <v>0.87669948853274893</v>
      </c>
      <c r="G5" s="4">
        <f>Table1[[#This Row],[Life expectancy at birth, total (years) '[SP.DYN.LE00.IN']]]/Table1[[#This Row],[Current health expenditure per capita (current US$) '[SH.XPD.CHEX.PC.CD']]]*1000</f>
        <v>876.69948853274889</v>
      </c>
    </row>
    <row r="6" spans="1:7" x14ac:dyDescent="0.25">
      <c r="A6" s="5" t="s">
        <v>319</v>
      </c>
      <c r="B6" s="6" t="s">
        <v>239</v>
      </c>
      <c r="C6" s="5">
        <v>2019</v>
      </c>
      <c r="D6" s="7">
        <v>74.064239499999999</v>
      </c>
      <c r="E6" s="11">
        <v>62.941000000000003</v>
      </c>
      <c r="F6" s="10">
        <f>Table1[[#This Row],[Life expectancy at birth, total (years) '[SP.DYN.LE00.IN']]]/Table1[[#This Row],[Current health expenditure per capita (current US$) '[SH.XPD.CHEX.PC.CD']]]</f>
        <v>0.84981632735187951</v>
      </c>
      <c r="G6" s="4">
        <f>Table1[[#This Row],[Life expectancy at birth, total (years) '[SP.DYN.LE00.IN']]]/Table1[[#This Row],[Current health expenditure per capita (current US$) '[SH.XPD.CHEX.PC.CD']]]*1000</f>
        <v>849.81632735187952</v>
      </c>
    </row>
    <row r="7" spans="1:7" x14ac:dyDescent="0.25">
      <c r="A7" s="5" t="s">
        <v>319</v>
      </c>
      <c r="B7" s="6" t="s">
        <v>239</v>
      </c>
      <c r="C7" s="5">
        <v>2020</v>
      </c>
      <c r="D7" s="7">
        <v>80.089233399999998</v>
      </c>
      <c r="E7" s="11">
        <v>61.454000000000001</v>
      </c>
      <c r="F7" s="10">
        <f>Table1[[#This Row],[Life expectancy at birth, total (years) '[SP.DYN.LE00.IN']]]/Table1[[#This Row],[Current health expenditure per capita (current US$) '[SH.XPD.CHEX.PC.CD']]]</f>
        <v>0.76731911882677606</v>
      </c>
      <c r="G7" s="4">
        <f>Table1[[#This Row],[Life expectancy at birth, total (years) '[SP.DYN.LE00.IN']]]/Table1[[#This Row],[Current health expenditure per capita (current US$) '[SH.XPD.CHEX.PC.CD']]]*1000</f>
        <v>767.31911882677605</v>
      </c>
    </row>
    <row r="8" spans="1:7" x14ac:dyDescent="0.25">
      <c r="A8" s="5" t="s">
        <v>319</v>
      </c>
      <c r="B8" s="6" t="s">
        <v>239</v>
      </c>
      <c r="C8" s="5">
        <v>2021</v>
      </c>
      <c r="D8" s="7">
        <v>81.521125789999999</v>
      </c>
      <c r="E8" s="11">
        <v>60.417000000000002</v>
      </c>
      <c r="F8" s="10">
        <f>Table1[[#This Row],[Life expectancy at birth, total (years) '[SP.DYN.LE00.IN']]]/Table1[[#This Row],[Current health expenditure per capita (current US$) '[SH.XPD.CHEX.PC.CD']]]</f>
        <v>0.74112077592789094</v>
      </c>
      <c r="G8" s="4">
        <f>Table1[[#This Row],[Life expectancy at birth, total (years) '[SP.DYN.LE00.IN']]]/Table1[[#This Row],[Current health expenditure per capita (current US$) '[SH.XPD.CHEX.PC.CD']]]*1000</f>
        <v>741.12077592789092</v>
      </c>
    </row>
    <row r="9" spans="1:7" x14ac:dyDescent="0.25">
      <c r="A9" s="5" t="s">
        <v>319</v>
      </c>
      <c r="B9" s="6" t="s">
        <v>239</v>
      </c>
      <c r="C9" s="5">
        <v>2022</v>
      </c>
      <c r="D9" s="7">
        <v>80.651603699999995</v>
      </c>
      <c r="E9" s="11">
        <v>65.617000000000004</v>
      </c>
      <c r="F9" s="10">
        <f>Table1[[#This Row],[Life expectancy at birth, total (years) '[SP.DYN.LE00.IN']]]/Table1[[#This Row],[Current health expenditure per capita (current US$) '[SH.XPD.CHEX.PC.CD']]]</f>
        <v>0.81358580598193375</v>
      </c>
      <c r="G9" s="4">
        <f>Table1[[#This Row],[Life expectancy at birth, total (years) '[SP.DYN.LE00.IN']]]/Table1[[#This Row],[Current health expenditure per capita (current US$) '[SH.XPD.CHEX.PC.CD']]]*1000</f>
        <v>813.58580598193373</v>
      </c>
    </row>
    <row r="10" spans="1:7" x14ac:dyDescent="0.25">
      <c r="A10" s="5" t="s">
        <v>319</v>
      </c>
      <c r="B10" s="6" t="s">
        <v>239</v>
      </c>
      <c r="C10" s="5">
        <v>2023</v>
      </c>
      <c r="D10" s="7">
        <v>59.067707059999996</v>
      </c>
      <c r="E10" s="11">
        <v>66.034999999999997</v>
      </c>
      <c r="F10" s="10">
        <f>Table1[[#This Row],[Life expectancy at birth, total (years) '[SP.DYN.LE00.IN']]]/Table1[[#This Row],[Current health expenditure per capita (current US$) '[SH.XPD.CHEX.PC.CD']]]</f>
        <v>1.1179543491153761</v>
      </c>
      <c r="G10" s="4">
        <f>Table1[[#This Row],[Life expectancy at birth, total (years) '[SP.DYN.LE00.IN']]]/Table1[[#This Row],[Current health expenditure per capita (current US$) '[SH.XPD.CHEX.PC.CD']]]*1000</f>
        <v>1117.9543491153761</v>
      </c>
    </row>
    <row r="11" spans="1:7" hidden="1" x14ac:dyDescent="0.25">
      <c r="B11" s="1"/>
      <c r="D11" s="3"/>
      <c r="E11"/>
      <c r="F11" t="e">
        <f>Table1[[#This Row],[Life expectancy at birth, total (years) '[SP.DYN.LE00.IN']]]/Table1[[#This Row],[Current health expenditure per capita (current US$) '[SH.XPD.CHEX.PC.CD']]]</f>
        <v>#DIV/0!</v>
      </c>
      <c r="G11" s="2" t="e">
        <f>Table1[[#This Row],[Life expectancy at birth, total (years) '[SP.DYN.LE00.IN']]]/Table1[[#This Row],[Current health expenditure per capita (current US$) '[SH.XPD.CHEX.PC.CD']]]*1000</f>
        <v>#DIV/0!</v>
      </c>
    </row>
    <row r="12" spans="1:7" x14ac:dyDescent="0.25">
      <c r="A12" s="5" t="s">
        <v>282</v>
      </c>
      <c r="B12" s="6" t="s">
        <v>106</v>
      </c>
      <c r="C12" s="5">
        <v>2015</v>
      </c>
      <c r="D12" s="7">
        <v>253.93347168</v>
      </c>
      <c r="E12" s="11">
        <v>78.358000000000004</v>
      </c>
      <c r="F12" s="10">
        <f>Table1[[#This Row],[Life expectancy at birth, total (years) '[SP.DYN.LE00.IN']]]/Table1[[#This Row],[Current health expenditure per capita (current US$) '[SH.XPD.CHEX.PC.CD']]]</f>
        <v>0.30857688622768331</v>
      </c>
      <c r="G12" s="4">
        <f>Table1[[#This Row],[Life expectancy at birth, total (years) '[SP.DYN.LE00.IN']]]/Table1[[#This Row],[Current health expenditure per capita (current US$) '[SH.XPD.CHEX.PC.CD']]]*1000</f>
        <v>308.5768862276833</v>
      </c>
    </row>
    <row r="13" spans="1:7" x14ac:dyDescent="0.25">
      <c r="A13" s="5" t="s">
        <v>282</v>
      </c>
      <c r="B13" s="6" t="s">
        <v>106</v>
      </c>
      <c r="C13" s="5">
        <v>2016</v>
      </c>
      <c r="D13" s="7">
        <v>275.43676757999998</v>
      </c>
      <c r="E13" s="11">
        <v>78.643000000000001</v>
      </c>
      <c r="F13" s="10">
        <f>Table1[[#This Row],[Life expectancy at birth, total (years) '[SP.DYN.LE00.IN']]]/Table1[[#This Row],[Current health expenditure per capita (current US$) '[SH.XPD.CHEX.PC.CD']]]</f>
        <v>0.28552106783332154</v>
      </c>
      <c r="G13" s="4">
        <f>Table1[[#This Row],[Life expectancy at birth, total (years) '[SP.DYN.LE00.IN']]]/Table1[[#This Row],[Current health expenditure per capita (current US$) '[SH.XPD.CHEX.PC.CD']]]*1000</f>
        <v>285.52106783332152</v>
      </c>
    </row>
    <row r="14" spans="1:7" x14ac:dyDescent="0.25">
      <c r="A14" s="5" t="s">
        <v>282</v>
      </c>
      <c r="B14" s="6" t="s">
        <v>106</v>
      </c>
      <c r="C14" s="5">
        <v>2017</v>
      </c>
      <c r="D14" s="7">
        <v>295.52346802</v>
      </c>
      <c r="E14" s="11">
        <v>78.900000000000006</v>
      </c>
      <c r="F14" s="10">
        <f>Table1[[#This Row],[Life expectancy at birth, total (years) '[SP.DYN.LE00.IN']]]/Table1[[#This Row],[Current health expenditure per capita (current US$) '[SH.XPD.CHEX.PC.CD']]]</f>
        <v>0.26698387281601721</v>
      </c>
      <c r="G14" s="4">
        <f>Table1[[#This Row],[Life expectancy at birth, total (years) '[SP.DYN.LE00.IN']]]/Table1[[#This Row],[Current health expenditure per capita (current US$) '[SH.XPD.CHEX.PC.CD']]]*1000</f>
        <v>266.9838728160172</v>
      </c>
    </row>
    <row r="15" spans="1:7" x14ac:dyDescent="0.25">
      <c r="A15" s="5" t="s">
        <v>282</v>
      </c>
      <c r="B15" s="6" t="s">
        <v>106</v>
      </c>
      <c r="C15" s="5">
        <v>2018</v>
      </c>
      <c r="D15" s="7">
        <v>349.21127318999999</v>
      </c>
      <c r="E15" s="11">
        <v>79.238</v>
      </c>
      <c r="F15" s="10">
        <f>Table1[[#This Row],[Life expectancy at birth, total (years) '[SP.DYN.LE00.IN']]]/Table1[[#This Row],[Current health expenditure per capita (current US$) '[SH.XPD.CHEX.PC.CD']]]</f>
        <v>0.22690561869945114</v>
      </c>
      <c r="G15" s="4">
        <f>Table1[[#This Row],[Life expectancy at birth, total (years) '[SP.DYN.LE00.IN']]]/Table1[[#This Row],[Current health expenditure per capita (current US$) '[SH.XPD.CHEX.PC.CD']]]*1000</f>
        <v>226.90561869945114</v>
      </c>
    </row>
    <row r="16" spans="1:7" x14ac:dyDescent="0.25">
      <c r="A16" s="5" t="s">
        <v>282</v>
      </c>
      <c r="B16" s="6" t="s">
        <v>106</v>
      </c>
      <c r="C16" s="5">
        <v>2019</v>
      </c>
      <c r="D16" s="7">
        <v>366.34014893</v>
      </c>
      <c r="E16" s="11">
        <v>79.466999999999999</v>
      </c>
      <c r="F16" s="10">
        <f>Table1[[#This Row],[Life expectancy at birth, total (years) '[SP.DYN.LE00.IN']]]/Table1[[#This Row],[Current health expenditure per capita (current US$) '[SH.XPD.CHEX.PC.CD']]]</f>
        <v>0.21692135091418685</v>
      </c>
      <c r="G16" s="4">
        <f>Table1[[#This Row],[Life expectancy at birth, total (years) '[SP.DYN.LE00.IN']]]/Table1[[#This Row],[Current health expenditure per capita (current US$) '[SH.XPD.CHEX.PC.CD']]]*1000</f>
        <v>216.92135091418686</v>
      </c>
    </row>
    <row r="17" spans="1:7" x14ac:dyDescent="0.25">
      <c r="A17" s="5" t="s">
        <v>282</v>
      </c>
      <c r="B17" s="6" t="s">
        <v>106</v>
      </c>
      <c r="C17" s="5">
        <v>2020</v>
      </c>
      <c r="D17" s="7">
        <v>396.17477416999998</v>
      </c>
      <c r="E17" s="11">
        <v>77.823999999999998</v>
      </c>
      <c r="F17" s="10">
        <f>Table1[[#This Row],[Life expectancy at birth, total (years) '[SP.DYN.LE00.IN']]]/Table1[[#This Row],[Current health expenditure per capita (current US$) '[SH.XPD.CHEX.PC.CD']]]</f>
        <v>0.19643855458249204</v>
      </c>
      <c r="G17" s="4">
        <f>Table1[[#This Row],[Life expectancy at birth, total (years) '[SP.DYN.LE00.IN']]]/Table1[[#This Row],[Current health expenditure per capita (current US$) '[SH.XPD.CHEX.PC.CD']]]*1000</f>
        <v>196.43855458249203</v>
      </c>
    </row>
    <row r="18" spans="1:7" x14ac:dyDescent="0.25">
      <c r="A18" s="5" t="s">
        <v>282</v>
      </c>
      <c r="B18" s="6" t="s">
        <v>106</v>
      </c>
      <c r="C18" s="5">
        <v>2021</v>
      </c>
      <c r="D18" s="7">
        <v>465.57043456999997</v>
      </c>
      <c r="E18" s="11">
        <v>76.843999999999994</v>
      </c>
      <c r="F18" s="10">
        <f>Table1[[#This Row],[Life expectancy at birth, total (years) '[SP.DYN.LE00.IN']]]/Table1[[#This Row],[Current health expenditure per capita (current US$) '[SH.XPD.CHEX.PC.CD']]]</f>
        <v>0.16505343615939225</v>
      </c>
      <c r="G18" s="4">
        <f>Table1[[#This Row],[Life expectancy at birth, total (years) '[SP.DYN.LE00.IN']]]/Table1[[#This Row],[Current health expenditure per capita (current US$) '[SH.XPD.CHEX.PC.CD']]]*1000</f>
        <v>165.05343615939225</v>
      </c>
    </row>
    <row r="19" spans="1:7" x14ac:dyDescent="0.25">
      <c r="A19" s="5" t="s">
        <v>282</v>
      </c>
      <c r="B19" s="6" t="s">
        <v>106</v>
      </c>
      <c r="C19" s="5">
        <v>2022</v>
      </c>
      <c r="D19" s="7">
        <v>506.86920165999999</v>
      </c>
      <c r="E19" s="11">
        <v>78.769000000000005</v>
      </c>
      <c r="F19" s="10">
        <f>Table1[[#This Row],[Life expectancy at birth, total (years) '[SP.DYN.LE00.IN']]]/Table1[[#This Row],[Current health expenditure per capita (current US$) '[SH.XPD.CHEX.PC.CD']]]</f>
        <v>0.15540301076102278</v>
      </c>
      <c r="G19" s="4">
        <f>Table1[[#This Row],[Life expectancy at birth, total (years) '[SP.DYN.LE00.IN']]]/Table1[[#This Row],[Current health expenditure per capita (current US$) '[SH.XPD.CHEX.PC.CD']]]*1000</f>
        <v>155.40301076102278</v>
      </c>
    </row>
    <row r="20" spans="1:7" x14ac:dyDescent="0.25">
      <c r="A20" s="5" t="s">
        <v>282</v>
      </c>
      <c r="B20" s="6" t="s">
        <v>106</v>
      </c>
      <c r="C20" s="5">
        <v>2023</v>
      </c>
      <c r="D20" s="7">
        <v>590.62799071999996</v>
      </c>
      <c r="E20" s="11">
        <v>79.602000000000004</v>
      </c>
      <c r="F20" s="10">
        <f>Table1[[#This Row],[Life expectancy at birth, total (years) '[SP.DYN.LE00.IN']]]/Table1[[#This Row],[Current health expenditure per capita (current US$) '[SH.XPD.CHEX.PC.CD']]]</f>
        <v>0.13477519056108714</v>
      </c>
      <c r="G20" s="4">
        <f>Table1[[#This Row],[Life expectancy at birth, total (years) '[SP.DYN.LE00.IN']]]/Table1[[#This Row],[Current health expenditure per capita (current US$) '[SH.XPD.CHEX.PC.CD']]]*1000</f>
        <v>134.77519056108713</v>
      </c>
    </row>
    <row r="21" spans="1:7" hidden="1" x14ac:dyDescent="0.25">
      <c r="B21" s="1"/>
      <c r="D21" s="3"/>
      <c r="E21"/>
      <c r="F21" t="e">
        <f>Table1[[#This Row],[Life expectancy at birth, total (years) '[SP.DYN.LE00.IN']]]/Table1[[#This Row],[Current health expenditure per capita (current US$) '[SH.XPD.CHEX.PC.CD']]]</f>
        <v>#DIV/0!</v>
      </c>
      <c r="G21" s="2" t="e">
        <f>Table1[[#This Row],[Life expectancy at birth, total (years) '[SP.DYN.LE00.IN']]]/Table1[[#This Row],[Current health expenditure per capita (current US$) '[SH.XPD.CHEX.PC.CD']]]*1000</f>
        <v>#DIV/0!</v>
      </c>
    </row>
    <row r="22" spans="1:7" x14ac:dyDescent="0.25">
      <c r="A22" s="5" t="s">
        <v>128</v>
      </c>
      <c r="B22" s="6" t="s">
        <v>233</v>
      </c>
      <c r="C22" s="5">
        <v>2015</v>
      </c>
      <c r="D22" s="7">
        <v>296.76834106000001</v>
      </c>
      <c r="E22" s="11">
        <v>75.159000000000006</v>
      </c>
      <c r="F22" s="10">
        <f>Table1[[#This Row],[Life expectancy at birth, total (years) '[SP.DYN.LE00.IN']]]/Table1[[#This Row],[Current health expenditure per capita (current US$) '[SH.XPD.CHEX.PC.CD']]]</f>
        <v>0.25325814651100037</v>
      </c>
      <c r="G22" s="4">
        <f>Table1[[#This Row],[Life expectancy at birth, total (years) '[SP.DYN.LE00.IN']]]/Table1[[#This Row],[Current health expenditure per capita (current US$) '[SH.XPD.CHEX.PC.CD']]]*1000</f>
        <v>253.25814651100038</v>
      </c>
    </row>
    <row r="23" spans="1:7" x14ac:dyDescent="0.25">
      <c r="A23" s="5" t="s">
        <v>128</v>
      </c>
      <c r="B23" s="6" t="s">
        <v>233</v>
      </c>
      <c r="C23" s="5">
        <v>2016</v>
      </c>
      <c r="D23" s="7">
        <v>265.53491210999999</v>
      </c>
      <c r="E23" s="11">
        <v>75.31</v>
      </c>
      <c r="F23" s="10">
        <f>Table1[[#This Row],[Life expectancy at birth, total (years) '[SP.DYN.LE00.IN']]]/Table1[[#This Row],[Current health expenditure per capita (current US$) '[SH.XPD.CHEX.PC.CD']]]</f>
        <v>0.28361618968131097</v>
      </c>
      <c r="G23" s="4">
        <f>Table1[[#This Row],[Life expectancy at birth, total (years) '[SP.DYN.LE00.IN']]]/Table1[[#This Row],[Current health expenditure per capita (current US$) '[SH.XPD.CHEX.PC.CD']]]*1000</f>
        <v>283.61618968131097</v>
      </c>
    </row>
    <row r="24" spans="1:7" x14ac:dyDescent="0.25">
      <c r="A24" s="5" t="s">
        <v>128</v>
      </c>
      <c r="B24" s="6" t="s">
        <v>233</v>
      </c>
      <c r="C24" s="5">
        <v>2017</v>
      </c>
      <c r="D24" s="7">
        <v>270.93231200999998</v>
      </c>
      <c r="E24" s="11">
        <v>75.430999999999997</v>
      </c>
      <c r="F24" s="10">
        <f>Table1[[#This Row],[Life expectancy at birth, total (years) '[SP.DYN.LE00.IN']]]/Table1[[#This Row],[Current health expenditure per capita (current US$) '[SH.XPD.CHEX.PC.CD']]]</f>
        <v>0.27841271290378933</v>
      </c>
      <c r="G24" s="4">
        <f>Table1[[#This Row],[Life expectancy at birth, total (years) '[SP.DYN.LE00.IN']]]/Table1[[#This Row],[Current health expenditure per capita (current US$) '[SH.XPD.CHEX.PC.CD']]]*1000</f>
        <v>278.41271290378933</v>
      </c>
    </row>
    <row r="25" spans="1:7" x14ac:dyDescent="0.25">
      <c r="A25" s="5" t="s">
        <v>128</v>
      </c>
      <c r="B25" s="6" t="s">
        <v>233</v>
      </c>
      <c r="C25" s="5">
        <v>2018</v>
      </c>
      <c r="D25" s="7">
        <v>271.53808593999997</v>
      </c>
      <c r="E25" s="11">
        <v>75.555000000000007</v>
      </c>
      <c r="F25" s="10">
        <f>Table1[[#This Row],[Life expectancy at birth, total (years) '[SP.DYN.LE00.IN']]]/Table1[[#This Row],[Current health expenditure per capita (current US$) '[SH.XPD.CHEX.PC.CD']]]</f>
        <v>0.27824826023372246</v>
      </c>
      <c r="G25" s="4">
        <f>Table1[[#This Row],[Life expectancy at birth, total (years) '[SP.DYN.LE00.IN']]]/Table1[[#This Row],[Current health expenditure per capita (current US$) '[SH.XPD.CHEX.PC.CD']]]*1000</f>
        <v>278.24826023372248</v>
      </c>
    </row>
    <row r="26" spans="1:7" x14ac:dyDescent="0.25">
      <c r="A26" s="5" t="s">
        <v>128</v>
      </c>
      <c r="B26" s="6" t="s">
        <v>233</v>
      </c>
      <c r="C26" s="5">
        <v>2019</v>
      </c>
      <c r="D26" s="7">
        <v>242.07049560999999</v>
      </c>
      <c r="E26" s="11">
        <v>75.682000000000002</v>
      </c>
      <c r="F26" s="10">
        <f>Table1[[#This Row],[Life expectancy at birth, total (years) '[SP.DYN.LE00.IN']]]/Table1[[#This Row],[Current health expenditure per capita (current US$) '[SH.XPD.CHEX.PC.CD']]]</f>
        <v>0.31264446255330242</v>
      </c>
      <c r="G26" s="4">
        <f>Table1[[#This Row],[Life expectancy at birth, total (years) '[SP.DYN.LE00.IN']]]/Table1[[#This Row],[Current health expenditure per capita (current US$) '[SH.XPD.CHEX.PC.CD']]]*1000</f>
        <v>312.64446255330239</v>
      </c>
    </row>
    <row r="27" spans="1:7" x14ac:dyDescent="0.25">
      <c r="A27" s="5" t="s">
        <v>128</v>
      </c>
      <c r="B27" s="6" t="s">
        <v>233</v>
      </c>
      <c r="C27" s="5">
        <v>2020</v>
      </c>
      <c r="D27" s="7">
        <v>211.07240295</v>
      </c>
      <c r="E27" s="11">
        <v>73.257000000000005</v>
      </c>
      <c r="F27" s="10">
        <f>Table1[[#This Row],[Life expectancy at birth, total (years) '[SP.DYN.LE00.IN']]]/Table1[[#This Row],[Current health expenditure per capita (current US$) '[SH.XPD.CHEX.PC.CD']]]</f>
        <v>0.34707047902114202</v>
      </c>
      <c r="G27" s="4">
        <f>Table1[[#This Row],[Life expectancy at birth, total (years) '[SP.DYN.LE00.IN']]]/Table1[[#This Row],[Current health expenditure per capita (current US$) '[SH.XPD.CHEX.PC.CD']]]*1000</f>
        <v>347.07047902114203</v>
      </c>
    </row>
    <row r="28" spans="1:7" x14ac:dyDescent="0.25">
      <c r="A28" s="5" t="s">
        <v>128</v>
      </c>
      <c r="B28" s="6" t="s">
        <v>233</v>
      </c>
      <c r="C28" s="5">
        <v>2021</v>
      </c>
      <c r="D28" s="7">
        <v>208.93911743000001</v>
      </c>
      <c r="E28" s="11">
        <v>75.207999999999998</v>
      </c>
      <c r="F28" s="10">
        <f>Table1[[#This Row],[Life expectancy at birth, total (years) '[SP.DYN.LE00.IN']]]/Table1[[#This Row],[Current health expenditure per capita (current US$) '[SH.XPD.CHEX.PC.CD']]]</f>
        <v>0.35995174539395008</v>
      </c>
      <c r="G28" s="4">
        <f>Table1[[#This Row],[Life expectancy at birth, total (years) '[SP.DYN.LE00.IN']]]/Table1[[#This Row],[Current health expenditure per capita (current US$) '[SH.XPD.CHEX.PC.CD']]]*1000</f>
        <v>359.95174539395009</v>
      </c>
    </row>
    <row r="29" spans="1:7" x14ac:dyDescent="0.25">
      <c r="A29" s="5" t="s">
        <v>128</v>
      </c>
      <c r="B29" s="6" t="s">
        <v>233</v>
      </c>
      <c r="C29" s="5">
        <v>2022</v>
      </c>
      <c r="D29" s="7">
        <v>180.33454895</v>
      </c>
      <c r="E29" s="11">
        <v>76.129000000000005</v>
      </c>
      <c r="F29" s="10">
        <f>Table1[[#This Row],[Life expectancy at birth, total (years) '[SP.DYN.LE00.IN']]]/Table1[[#This Row],[Current health expenditure per capita (current US$) '[SH.XPD.CHEX.PC.CD']]]</f>
        <v>0.42215427073326767</v>
      </c>
      <c r="G29" s="4">
        <f>Table1[[#This Row],[Life expectancy at birth, total (years) '[SP.DYN.LE00.IN']]]/Table1[[#This Row],[Current health expenditure per capita (current US$) '[SH.XPD.CHEX.PC.CD']]]*1000</f>
        <v>422.15427073326765</v>
      </c>
    </row>
    <row r="30" spans="1:7" x14ac:dyDescent="0.25">
      <c r="A30" s="5" t="s">
        <v>128</v>
      </c>
      <c r="B30" s="6" t="s">
        <v>233</v>
      </c>
      <c r="C30" s="5">
        <v>2023</v>
      </c>
      <c r="D30" s="7">
        <v>233.37947083</v>
      </c>
      <c r="E30" s="11">
        <v>76.260999999999996</v>
      </c>
      <c r="F30" s="10">
        <f>Table1[[#This Row],[Life expectancy at birth, total (years) '[SP.DYN.LE00.IN']]]/Table1[[#This Row],[Current health expenditure per capita (current US$) '[SH.XPD.CHEX.PC.CD']]]</f>
        <v>0.32676824456231024</v>
      </c>
      <c r="G30" s="4">
        <f>Table1[[#This Row],[Life expectancy at birth, total (years) '[SP.DYN.LE00.IN']]]/Table1[[#This Row],[Current health expenditure per capita (current US$) '[SH.XPD.CHEX.PC.CD']]]*1000</f>
        <v>326.76824456231026</v>
      </c>
    </row>
    <row r="31" spans="1:7" hidden="1" x14ac:dyDescent="0.25">
      <c r="B31" s="1"/>
      <c r="D31" s="3"/>
      <c r="E31"/>
      <c r="F31" t="e">
        <f>Table1[[#This Row],[Life expectancy at birth, total (years) '[SP.DYN.LE00.IN']]]/Table1[[#This Row],[Current health expenditure per capita (current US$) '[SH.XPD.CHEX.PC.CD']]]</f>
        <v>#DIV/0!</v>
      </c>
      <c r="G31" s="2" t="e">
        <f>Table1[[#This Row],[Life expectancy at birth, total (years) '[SP.DYN.LE00.IN']]]/Table1[[#This Row],[Current health expenditure per capita (current US$) '[SH.XPD.CHEX.PC.CD']]]*1000</f>
        <v>#DIV/0!</v>
      </c>
    </row>
    <row r="32" spans="1:7" hidden="1" x14ac:dyDescent="0.25">
      <c r="B32" s="1"/>
      <c r="D32" s="3"/>
      <c r="E32"/>
      <c r="F32" t="e">
        <f>Table1[[#This Row],[Life expectancy at birth, total (years) '[SP.DYN.LE00.IN']]]/Table1[[#This Row],[Current health expenditure per capita (current US$) '[SH.XPD.CHEX.PC.CD']]]</f>
        <v>#DIV/0!</v>
      </c>
      <c r="G32" s="2" t="e">
        <f>Table1[[#This Row],[Life expectancy at birth, total (years) '[SP.DYN.LE00.IN']]]/Table1[[#This Row],[Current health expenditure per capita (current US$) '[SH.XPD.CHEX.PC.CD']]]*1000</f>
        <v>#DIV/0!</v>
      </c>
    </row>
    <row r="33" spans="1:7" x14ac:dyDescent="0.25">
      <c r="A33" s="5" t="s">
        <v>284</v>
      </c>
      <c r="B33" s="6" t="s">
        <v>78</v>
      </c>
      <c r="C33" s="5">
        <v>2015</v>
      </c>
      <c r="D33" s="7">
        <v>2672.49731445</v>
      </c>
      <c r="E33" s="11">
        <v>84.531999999999996</v>
      </c>
      <c r="F33" s="10">
        <f>Table1[[#This Row],[Life expectancy at birth, total (years) '[SP.DYN.LE00.IN']]]/Table1[[#This Row],[Current health expenditure per capita (current US$) '[SH.XPD.CHEX.PC.CD']]]</f>
        <v>3.1630340484512957E-2</v>
      </c>
      <c r="G33" s="4">
        <f>Table1[[#This Row],[Life expectancy at birth, total (years) '[SP.DYN.LE00.IN']]]/Table1[[#This Row],[Current health expenditure per capita (current US$) '[SH.XPD.CHEX.PC.CD']]]*1000</f>
        <v>31.630340484512956</v>
      </c>
    </row>
    <row r="34" spans="1:7" x14ac:dyDescent="0.25">
      <c r="A34" s="5" t="s">
        <v>284</v>
      </c>
      <c r="B34" s="6" t="s">
        <v>78</v>
      </c>
      <c r="C34" s="5">
        <v>2016</v>
      </c>
      <c r="D34" s="7">
        <v>2785.6459960900002</v>
      </c>
      <c r="E34" s="11">
        <v>84.489000000000004</v>
      </c>
      <c r="F34" s="10">
        <f>Table1[[#This Row],[Life expectancy at birth, total (years) '[SP.DYN.LE00.IN']]]/Table1[[#This Row],[Current health expenditure per capita (current US$) '[SH.XPD.CHEX.PC.CD']]]</f>
        <v>3.0330128134942774E-2</v>
      </c>
      <c r="G34" s="4">
        <f>Table1[[#This Row],[Life expectancy at birth, total (years) '[SP.DYN.LE00.IN']]]/Table1[[#This Row],[Current health expenditure per capita (current US$) '[SH.XPD.CHEX.PC.CD']]]*1000</f>
        <v>30.330128134942772</v>
      </c>
    </row>
    <row r="35" spans="1:7" x14ac:dyDescent="0.25">
      <c r="A35" s="5" t="s">
        <v>284</v>
      </c>
      <c r="B35" s="6" t="s">
        <v>78</v>
      </c>
      <c r="C35" s="5">
        <v>2017</v>
      </c>
      <c r="D35" s="7">
        <v>2876.2419433599998</v>
      </c>
      <c r="E35" s="11">
        <v>84.358999999999995</v>
      </c>
      <c r="F35" s="10">
        <f>Table1[[#This Row],[Life expectancy at birth, total (years) '[SP.DYN.LE00.IN']]]/Table1[[#This Row],[Current health expenditure per capita (current US$) '[SH.XPD.CHEX.PC.CD']]]</f>
        <v>2.9329591064043998E-2</v>
      </c>
      <c r="G35" s="4">
        <f>Table1[[#This Row],[Life expectancy at birth, total (years) '[SP.DYN.LE00.IN']]]/Table1[[#This Row],[Current health expenditure per capita (current US$) '[SH.XPD.CHEX.PC.CD']]]*1000</f>
        <v>29.329591064043999</v>
      </c>
    </row>
    <row r="36" spans="1:7" x14ac:dyDescent="0.25">
      <c r="A36" s="5" t="s">
        <v>284</v>
      </c>
      <c r="B36" s="6" t="s">
        <v>78</v>
      </c>
      <c r="C36" s="5">
        <v>2018</v>
      </c>
      <c r="D36" s="7">
        <v>3159.1616210900002</v>
      </c>
      <c r="E36" s="11">
        <v>84.242000000000004</v>
      </c>
      <c r="F36" s="10">
        <f>Table1[[#This Row],[Life expectancy at birth, total (years) '[SP.DYN.LE00.IN']]]/Table1[[#This Row],[Current health expenditure per capita (current US$) '[SH.XPD.CHEX.PC.CD']]]</f>
        <v>2.6665935493016699E-2</v>
      </c>
      <c r="G36" s="4">
        <f>Table1[[#This Row],[Life expectancy at birth, total (years) '[SP.DYN.LE00.IN']]]/Table1[[#This Row],[Current health expenditure per capita (current US$) '[SH.XPD.CHEX.PC.CD']]]*1000</f>
        <v>26.665935493016697</v>
      </c>
    </row>
    <row r="37" spans="1:7" x14ac:dyDescent="0.25">
      <c r="A37" s="5" t="s">
        <v>284</v>
      </c>
      <c r="B37" s="6" t="s">
        <v>78</v>
      </c>
      <c r="C37" s="5">
        <v>2019</v>
      </c>
      <c r="D37" s="7">
        <v>3021.078125</v>
      </c>
      <c r="E37" s="11">
        <v>84.097999999999999</v>
      </c>
      <c r="F37" s="10">
        <f>Table1[[#This Row],[Life expectancy at birth, total (years) '[SP.DYN.LE00.IN']]]/Table1[[#This Row],[Current health expenditure per capita (current US$) '[SH.XPD.CHEX.PC.CD']]]</f>
        <v>2.7837082167479533E-2</v>
      </c>
      <c r="G37" s="4">
        <f>Table1[[#This Row],[Life expectancy at birth, total (years) '[SP.DYN.LE00.IN']]]/Table1[[#This Row],[Current health expenditure per capita (current US$) '[SH.XPD.CHEX.PC.CD']]]*1000</f>
        <v>27.837082167479533</v>
      </c>
    </row>
    <row r="38" spans="1:7" x14ac:dyDescent="0.25">
      <c r="A38" s="5" t="s">
        <v>284</v>
      </c>
      <c r="B38" s="6" t="s">
        <v>78</v>
      </c>
      <c r="C38" s="5">
        <v>2020</v>
      </c>
      <c r="D38" s="7">
        <v>3282.0258789099998</v>
      </c>
      <c r="E38" s="11">
        <v>79.418000000000006</v>
      </c>
      <c r="F38" s="10">
        <f>Table1[[#This Row],[Life expectancy at birth, total (years) '[SP.DYN.LE00.IN']]]/Table1[[#This Row],[Current health expenditure per capita (current US$) '[SH.XPD.CHEX.PC.CD']]]</f>
        <v>2.4197859166904461E-2</v>
      </c>
      <c r="G38" s="4">
        <f>Table1[[#This Row],[Life expectancy at birth, total (years) '[SP.DYN.LE00.IN']]]/Table1[[#This Row],[Current health expenditure per capita (current US$) '[SH.XPD.CHEX.PC.CD']]]*1000</f>
        <v>24.197859166904461</v>
      </c>
    </row>
    <row r="39" spans="1:7" x14ac:dyDescent="0.25">
      <c r="A39" s="5" t="s">
        <v>284</v>
      </c>
      <c r="B39" s="6" t="s">
        <v>78</v>
      </c>
      <c r="C39" s="5">
        <v>2021</v>
      </c>
      <c r="D39" s="7">
        <v>3668.4475097700001</v>
      </c>
      <c r="E39" s="11">
        <v>82.331000000000003</v>
      </c>
      <c r="F39" s="10">
        <f>Table1[[#This Row],[Life expectancy at birth, total (years) '[SP.DYN.LE00.IN']]]/Table1[[#This Row],[Current health expenditure per capita (current US$) '[SH.XPD.CHEX.PC.CD']]]</f>
        <v>2.2443008869755341E-2</v>
      </c>
      <c r="G39" s="4">
        <f>Table1[[#This Row],[Life expectancy at birth, total (years) '[SP.DYN.LE00.IN']]]/Table1[[#This Row],[Current health expenditure per capita (current US$) '[SH.XPD.CHEX.PC.CD']]]*1000</f>
        <v>22.443008869755342</v>
      </c>
    </row>
    <row r="40" spans="1:7" x14ac:dyDescent="0.25">
      <c r="A40" s="5" t="s">
        <v>284</v>
      </c>
      <c r="B40" s="6" t="s">
        <v>78</v>
      </c>
      <c r="C40" s="5">
        <v>2022</v>
      </c>
      <c r="D40" s="7">
        <v>3190.11328125</v>
      </c>
      <c r="E40" s="11">
        <v>84.016000000000005</v>
      </c>
      <c r="F40" s="10">
        <f>Table1[[#This Row],[Life expectancy at birth, total (years) '[SP.DYN.LE00.IN']]]/Table1[[#This Row],[Current health expenditure per capita (current US$) '[SH.XPD.CHEX.PC.CD']]]</f>
        <v>2.6336368834864555E-2</v>
      </c>
      <c r="G40" s="4">
        <f>Table1[[#This Row],[Life expectancy at birth, total (years) '[SP.DYN.LE00.IN']]]/Table1[[#This Row],[Current health expenditure per capita (current US$) '[SH.XPD.CHEX.PC.CD']]]*1000</f>
        <v>26.336368834864555</v>
      </c>
    </row>
    <row r="41" spans="1:7" x14ac:dyDescent="0.25">
      <c r="A41" s="5" t="s">
        <v>284</v>
      </c>
      <c r="B41" s="6" t="s">
        <v>78</v>
      </c>
      <c r="C41" s="5">
        <v>2023</v>
      </c>
      <c r="D41" s="7">
        <v>3605.19799805</v>
      </c>
      <c r="E41" s="11">
        <v>84.040999999999997</v>
      </c>
      <c r="F41" s="10">
        <f>Table1[[#This Row],[Life expectancy at birth, total (years) '[SP.DYN.LE00.IN']]]/Table1[[#This Row],[Current health expenditure per capita (current US$) '[SH.XPD.CHEX.PC.CD']]]</f>
        <v>2.3311063649057991E-2</v>
      </c>
      <c r="G41" s="4">
        <f>Table1[[#This Row],[Life expectancy at birth, total (years) '[SP.DYN.LE00.IN']]]/Table1[[#This Row],[Current health expenditure per capita (current US$) '[SH.XPD.CHEX.PC.CD']]]*1000</f>
        <v>23.311063649057992</v>
      </c>
    </row>
    <row r="42" spans="1:7" hidden="1" x14ac:dyDescent="0.25">
      <c r="B42" s="1"/>
      <c r="D42" s="3"/>
      <c r="E42"/>
      <c r="F42" t="e">
        <f>Table1[[#This Row],[Life expectancy at birth, total (years) '[SP.DYN.LE00.IN']]]/Table1[[#This Row],[Current health expenditure per capita (current US$) '[SH.XPD.CHEX.PC.CD']]]</f>
        <v>#DIV/0!</v>
      </c>
      <c r="G42" s="2" t="e">
        <f>Table1[[#This Row],[Life expectancy at birth, total (years) '[SP.DYN.LE00.IN']]]/Table1[[#This Row],[Current health expenditure per capita (current US$) '[SH.XPD.CHEX.PC.CD']]]*1000</f>
        <v>#DIV/0!</v>
      </c>
    </row>
    <row r="43" spans="1:7" x14ac:dyDescent="0.25">
      <c r="A43" s="5" t="s">
        <v>35</v>
      </c>
      <c r="B43" s="6" t="s">
        <v>262</v>
      </c>
      <c r="C43" s="5">
        <v>2015</v>
      </c>
      <c r="D43" s="7">
        <v>107.52857208</v>
      </c>
      <c r="E43" s="11">
        <v>61.042000000000002</v>
      </c>
      <c r="F43" s="10">
        <f>Table1[[#This Row],[Life expectancy at birth, total (years) '[SP.DYN.LE00.IN']]]/Table1[[#This Row],[Current health expenditure per capita (current US$) '[SH.XPD.CHEX.PC.CD']]]</f>
        <v>0.56768167584877316</v>
      </c>
      <c r="G43" s="4">
        <f>Table1[[#This Row],[Life expectancy at birth, total (years) '[SP.DYN.LE00.IN']]]/Table1[[#This Row],[Current health expenditure per capita (current US$) '[SH.XPD.CHEX.PC.CD']]]*1000</f>
        <v>567.68167584877312</v>
      </c>
    </row>
    <row r="44" spans="1:7" x14ac:dyDescent="0.25">
      <c r="A44" s="5" t="s">
        <v>35</v>
      </c>
      <c r="B44" s="6" t="s">
        <v>262</v>
      </c>
      <c r="C44" s="5">
        <v>2016</v>
      </c>
      <c r="D44" s="7">
        <v>94.014816280000005</v>
      </c>
      <c r="E44" s="11">
        <v>61.619</v>
      </c>
      <c r="F44" s="10">
        <f>Table1[[#This Row],[Life expectancy at birth, total (years) '[SP.DYN.LE00.IN']]]/Table1[[#This Row],[Current health expenditure per capita (current US$) '[SH.XPD.CHEX.PC.CD']]]</f>
        <v>0.65541796961537391</v>
      </c>
      <c r="G44" s="4">
        <f>Table1[[#This Row],[Life expectancy at birth, total (years) '[SP.DYN.LE00.IN']]]/Table1[[#This Row],[Current health expenditure per capita (current US$) '[SH.XPD.CHEX.PC.CD']]]*1000</f>
        <v>655.41796961537386</v>
      </c>
    </row>
    <row r="45" spans="1:7" x14ac:dyDescent="0.25">
      <c r="A45" s="5" t="s">
        <v>35</v>
      </c>
      <c r="B45" s="6" t="s">
        <v>262</v>
      </c>
      <c r="C45" s="5">
        <v>2017</v>
      </c>
      <c r="D45" s="7">
        <v>112.75364685</v>
      </c>
      <c r="E45" s="11">
        <v>62.122</v>
      </c>
      <c r="F45" s="10">
        <f>Table1[[#This Row],[Life expectancy at birth, total (years) '[SP.DYN.LE00.IN']]]/Table1[[#This Row],[Current health expenditure per capita (current US$) '[SH.XPD.CHEX.PC.CD']]]</f>
        <v>0.55095335481825258</v>
      </c>
      <c r="G45" s="4">
        <f>Table1[[#This Row],[Life expectancy at birth, total (years) '[SP.DYN.LE00.IN']]]/Table1[[#This Row],[Current health expenditure per capita (current US$) '[SH.XPD.CHEX.PC.CD']]]*1000</f>
        <v>550.95335481825259</v>
      </c>
    </row>
    <row r="46" spans="1:7" x14ac:dyDescent="0.25">
      <c r="A46" s="5" t="s">
        <v>35</v>
      </c>
      <c r="B46" s="6" t="s">
        <v>262</v>
      </c>
      <c r="C46" s="5">
        <v>2018</v>
      </c>
      <c r="D46" s="7">
        <v>83.875556950000004</v>
      </c>
      <c r="E46" s="11">
        <v>62.622</v>
      </c>
      <c r="F46" s="10">
        <f>Table1[[#This Row],[Life expectancy at birth, total (years) '[SP.DYN.LE00.IN']]]/Table1[[#This Row],[Current health expenditure per capita (current US$) '[SH.XPD.CHEX.PC.CD']]]</f>
        <v>0.74660607067360873</v>
      </c>
      <c r="G46" s="4">
        <f>Table1[[#This Row],[Life expectancy at birth, total (years) '[SP.DYN.LE00.IN']]]/Table1[[#This Row],[Current health expenditure per capita (current US$) '[SH.XPD.CHEX.PC.CD']]]*1000</f>
        <v>746.60607067360877</v>
      </c>
    </row>
    <row r="47" spans="1:7" x14ac:dyDescent="0.25">
      <c r="A47" s="5" t="s">
        <v>35</v>
      </c>
      <c r="B47" s="6" t="s">
        <v>262</v>
      </c>
      <c r="C47" s="5">
        <v>2019</v>
      </c>
      <c r="D47" s="7">
        <v>64.446609499999994</v>
      </c>
      <c r="E47" s="11">
        <v>63.051000000000002</v>
      </c>
      <c r="F47" s="10">
        <f>Table1[[#This Row],[Life expectancy at birth, total (years) '[SP.DYN.LE00.IN']]]/Table1[[#This Row],[Current health expenditure per capita (current US$) '[SH.XPD.CHEX.PC.CD']]]</f>
        <v>0.97834471804137357</v>
      </c>
      <c r="G47" s="4">
        <f>Table1[[#This Row],[Life expectancy at birth, total (years) '[SP.DYN.LE00.IN']]]/Table1[[#This Row],[Current health expenditure per capita (current US$) '[SH.XPD.CHEX.PC.CD']]]*1000</f>
        <v>978.34471804137354</v>
      </c>
    </row>
    <row r="48" spans="1:7" x14ac:dyDescent="0.25">
      <c r="A48" s="5" t="s">
        <v>35</v>
      </c>
      <c r="B48" s="6" t="s">
        <v>262</v>
      </c>
      <c r="C48" s="5">
        <v>2020</v>
      </c>
      <c r="D48" s="7">
        <v>56.016418459999997</v>
      </c>
      <c r="E48" s="11">
        <v>63.116</v>
      </c>
      <c r="F48" s="10">
        <f>Table1[[#This Row],[Life expectancy at birth, total (years) '[SP.DYN.LE00.IN']]]/Table1[[#This Row],[Current health expenditure per capita (current US$) '[SH.XPD.CHEX.PC.CD']]]</f>
        <v>1.1267410829749789</v>
      </c>
      <c r="G48" s="4">
        <f>Table1[[#This Row],[Life expectancy at birth, total (years) '[SP.DYN.LE00.IN']]]/Table1[[#This Row],[Current health expenditure per capita (current US$) '[SH.XPD.CHEX.PC.CD']]]*1000</f>
        <v>1126.7410829749788</v>
      </c>
    </row>
    <row r="49" spans="1:7" x14ac:dyDescent="0.25">
      <c r="A49" s="5" t="s">
        <v>35</v>
      </c>
      <c r="B49" s="6" t="s">
        <v>262</v>
      </c>
      <c r="C49" s="5">
        <v>2021</v>
      </c>
      <c r="D49" s="7">
        <v>66.944869999999995</v>
      </c>
      <c r="E49" s="11">
        <v>62.957999999999998</v>
      </c>
      <c r="F49" s="10">
        <f>Table1[[#This Row],[Life expectancy at birth, total (years) '[SP.DYN.LE00.IN']]]/Table1[[#This Row],[Current health expenditure per capita (current US$) '[SH.XPD.CHEX.PC.CD']]]</f>
        <v>0.94044547401466316</v>
      </c>
      <c r="G49" s="4">
        <f>Table1[[#This Row],[Life expectancy at birth, total (years) '[SP.DYN.LE00.IN']]]/Table1[[#This Row],[Current health expenditure per capita (current US$) '[SH.XPD.CHEX.PC.CD']]]*1000</f>
        <v>940.4454740146632</v>
      </c>
    </row>
    <row r="50" spans="1:7" x14ac:dyDescent="0.25">
      <c r="A50" s="5" t="s">
        <v>35</v>
      </c>
      <c r="B50" s="6" t="s">
        <v>262</v>
      </c>
      <c r="C50" s="5">
        <v>2022</v>
      </c>
      <c r="D50" s="7">
        <v>103.94506072999999</v>
      </c>
      <c r="E50" s="11">
        <v>64.245999999999995</v>
      </c>
      <c r="F50" s="10">
        <f>Table1[[#This Row],[Life expectancy at birth, total (years) '[SP.DYN.LE00.IN']]]/Table1[[#This Row],[Current health expenditure per capita (current US$) '[SH.XPD.CHEX.PC.CD']]]</f>
        <v>0.61807650646220369</v>
      </c>
      <c r="G50" s="4">
        <f>Table1[[#This Row],[Life expectancy at birth, total (years) '[SP.DYN.LE00.IN']]]/Table1[[#This Row],[Current health expenditure per capita (current US$) '[SH.XPD.CHEX.PC.CD']]]*1000</f>
        <v>618.07650646220372</v>
      </c>
    </row>
    <row r="51" spans="1:7" x14ac:dyDescent="0.25">
      <c r="A51" s="5" t="s">
        <v>35</v>
      </c>
      <c r="B51" s="6" t="s">
        <v>262</v>
      </c>
      <c r="C51" s="5">
        <v>2023</v>
      </c>
      <c r="D51" s="7">
        <v>76.071182250000007</v>
      </c>
      <c r="E51" s="11">
        <v>64.617000000000004</v>
      </c>
      <c r="F51" s="10">
        <f>Table1[[#This Row],[Life expectancy at birth, total (years) '[SP.DYN.LE00.IN']]]/Table1[[#This Row],[Current health expenditure per capita (current US$) '[SH.XPD.CHEX.PC.CD']]]</f>
        <v>0.84942810258479973</v>
      </c>
      <c r="G51" s="4">
        <f>Table1[[#This Row],[Life expectancy at birth, total (years) '[SP.DYN.LE00.IN']]]/Table1[[#This Row],[Current health expenditure per capita (current US$) '[SH.XPD.CHEX.PC.CD']]]*1000</f>
        <v>849.42810258479972</v>
      </c>
    </row>
    <row r="52" spans="1:7" hidden="1" x14ac:dyDescent="0.25">
      <c r="B52" s="1"/>
      <c r="D52" s="3"/>
      <c r="E52"/>
      <c r="F52" t="e">
        <f>Table1[[#This Row],[Life expectancy at birth, total (years) '[SP.DYN.LE00.IN']]]/Table1[[#This Row],[Current health expenditure per capita (current US$) '[SH.XPD.CHEX.PC.CD']]]</f>
        <v>#DIV/0!</v>
      </c>
      <c r="G52" s="2" t="e">
        <f>Table1[[#This Row],[Life expectancy at birth, total (years) '[SP.DYN.LE00.IN']]]/Table1[[#This Row],[Current health expenditure per capita (current US$) '[SH.XPD.CHEX.PC.CD']]]*1000</f>
        <v>#DIV/0!</v>
      </c>
    </row>
    <row r="53" spans="1:7" x14ac:dyDescent="0.25">
      <c r="A53" s="5" t="s">
        <v>145</v>
      </c>
      <c r="B53" s="6" t="s">
        <v>141</v>
      </c>
      <c r="C53" s="5">
        <v>2015</v>
      </c>
      <c r="D53" s="7">
        <v>789.30975341999999</v>
      </c>
      <c r="E53" s="11">
        <v>76.891999999999996</v>
      </c>
      <c r="F53" s="10">
        <f>Table1[[#This Row],[Life expectancy at birth, total (years) '[SP.DYN.LE00.IN']]]/Table1[[#This Row],[Current health expenditure per capita (current US$) '[SH.XPD.CHEX.PC.CD']]]</f>
        <v>9.7416761501849775E-2</v>
      </c>
      <c r="G53" s="4">
        <f>Table1[[#This Row],[Life expectancy at birth, total (years) '[SP.DYN.LE00.IN']]]/Table1[[#This Row],[Current health expenditure per capita (current US$) '[SH.XPD.CHEX.PC.CD']]]*1000</f>
        <v>97.416761501849777</v>
      </c>
    </row>
    <row r="54" spans="1:7" x14ac:dyDescent="0.25">
      <c r="A54" s="5" t="s">
        <v>145</v>
      </c>
      <c r="B54" s="6" t="s">
        <v>141</v>
      </c>
      <c r="C54" s="5">
        <v>2016</v>
      </c>
      <c r="D54" s="7">
        <v>817.88891602000001</v>
      </c>
      <c r="E54" s="11">
        <v>76.968000000000004</v>
      </c>
      <c r="F54" s="10">
        <f>Table1[[#This Row],[Life expectancy at birth, total (years) '[SP.DYN.LE00.IN']]]/Table1[[#This Row],[Current health expenditure per capita (current US$) '[SH.XPD.CHEX.PC.CD']]]</f>
        <v>9.4105689039705592E-2</v>
      </c>
      <c r="G54" s="4">
        <f>Table1[[#This Row],[Life expectancy at birth, total (years) '[SP.DYN.LE00.IN']]]/Table1[[#This Row],[Current health expenditure per capita (current US$) '[SH.XPD.CHEX.PC.CD']]]*1000</f>
        <v>94.105689039705595</v>
      </c>
    </row>
    <row r="55" spans="1:7" x14ac:dyDescent="0.25">
      <c r="A55" s="5" t="s">
        <v>145</v>
      </c>
      <c r="B55" s="6" t="s">
        <v>141</v>
      </c>
      <c r="C55" s="5">
        <v>2017</v>
      </c>
      <c r="D55" s="7">
        <v>791.12322998000002</v>
      </c>
      <c r="E55" s="11">
        <v>77.03</v>
      </c>
      <c r="F55" s="10">
        <f>Table1[[#This Row],[Life expectancy at birth, total (years) '[SP.DYN.LE00.IN']]]/Table1[[#This Row],[Current health expenditure per capita (current US$) '[SH.XPD.CHEX.PC.CD']]]</f>
        <v>9.736789046372378E-2</v>
      </c>
      <c r="G55" s="4">
        <f>Table1[[#This Row],[Life expectancy at birth, total (years) '[SP.DYN.LE00.IN']]]/Table1[[#This Row],[Current health expenditure per capita (current US$) '[SH.XPD.CHEX.PC.CD']]]*1000</f>
        <v>97.367890463723782</v>
      </c>
    </row>
    <row r="56" spans="1:7" x14ac:dyDescent="0.25">
      <c r="A56" s="5" t="s">
        <v>145</v>
      </c>
      <c r="B56" s="6" t="s">
        <v>141</v>
      </c>
      <c r="C56" s="5">
        <v>2018</v>
      </c>
      <c r="D56" s="7">
        <v>856.37127685999997</v>
      </c>
      <c r="E56" s="11">
        <v>77.132000000000005</v>
      </c>
      <c r="F56" s="10">
        <f>Table1[[#This Row],[Life expectancy at birth, total (years) '[SP.DYN.LE00.IN']]]/Table1[[#This Row],[Current health expenditure per capita (current US$) '[SH.XPD.CHEX.PC.CD']]]</f>
        <v>9.0068410844902247E-2</v>
      </c>
      <c r="G56" s="4">
        <f>Table1[[#This Row],[Life expectancy at birth, total (years) '[SP.DYN.LE00.IN']]]/Table1[[#This Row],[Current health expenditure per capita (current US$) '[SH.XPD.CHEX.PC.CD']]]*1000</f>
        <v>90.068410844902246</v>
      </c>
    </row>
    <row r="57" spans="1:7" x14ac:dyDescent="0.25">
      <c r="A57" s="5" t="s">
        <v>145</v>
      </c>
      <c r="B57" s="6" t="s">
        <v>141</v>
      </c>
      <c r="C57" s="5">
        <v>2019</v>
      </c>
      <c r="D57" s="7">
        <v>808.14996338000003</v>
      </c>
      <c r="E57" s="11">
        <v>77.168000000000006</v>
      </c>
      <c r="F57" s="10">
        <f>Table1[[#This Row],[Life expectancy at birth, total (years) '[SP.DYN.LE00.IN']]]/Table1[[#This Row],[Current health expenditure per capita (current US$) '[SH.XPD.CHEX.PC.CD']]]</f>
        <v>9.5487228233301122E-2</v>
      </c>
      <c r="G57" s="4">
        <f>Table1[[#This Row],[Life expectancy at birth, total (years) '[SP.DYN.LE00.IN']]]/Table1[[#This Row],[Current health expenditure per capita (current US$) '[SH.XPD.CHEX.PC.CD']]]*1000</f>
        <v>95.487228233301124</v>
      </c>
    </row>
    <row r="58" spans="1:7" x14ac:dyDescent="0.25">
      <c r="A58" s="5" t="s">
        <v>145</v>
      </c>
      <c r="B58" s="6" t="s">
        <v>141</v>
      </c>
      <c r="C58" s="5">
        <v>2020</v>
      </c>
      <c r="D58" s="7">
        <v>873.52465819999998</v>
      </c>
      <c r="E58" s="11">
        <v>77.161000000000001</v>
      </c>
      <c r="F58" s="10">
        <f>Table1[[#This Row],[Life expectancy at birth, total (years) '[SP.DYN.LE00.IN']]]/Table1[[#This Row],[Current health expenditure per capita (current US$) '[SH.XPD.CHEX.PC.CD']]]</f>
        <v>8.8332938601869915E-2</v>
      </c>
      <c r="G58" s="4">
        <f>Table1[[#This Row],[Life expectancy at birth, total (years) '[SP.DYN.LE00.IN']]]/Table1[[#This Row],[Current health expenditure per capita (current US$) '[SH.XPD.CHEX.PC.CD']]]*1000</f>
        <v>88.332938601869913</v>
      </c>
    </row>
    <row r="59" spans="1:7" x14ac:dyDescent="0.25">
      <c r="A59" s="5" t="s">
        <v>145</v>
      </c>
      <c r="B59" s="6" t="s">
        <v>141</v>
      </c>
      <c r="C59" s="5">
        <v>2021</v>
      </c>
      <c r="D59" s="7">
        <v>835.06512451000003</v>
      </c>
      <c r="E59" s="11">
        <v>77.197000000000003</v>
      </c>
      <c r="F59" s="10">
        <f>Table1[[#This Row],[Life expectancy at birth, total (years) '[SP.DYN.LE00.IN']]]/Table1[[#This Row],[Current health expenditure per capita (current US$) '[SH.XPD.CHEX.PC.CD']]]</f>
        <v>9.2444286959412536E-2</v>
      </c>
      <c r="G59" s="4">
        <f>Table1[[#This Row],[Life expectancy at birth, total (years) '[SP.DYN.LE00.IN']]]/Table1[[#This Row],[Current health expenditure per capita (current US$) '[SH.XPD.CHEX.PC.CD']]]*1000</f>
        <v>92.444286959412537</v>
      </c>
    </row>
    <row r="60" spans="1:7" x14ac:dyDescent="0.25">
      <c r="A60" s="5" t="s">
        <v>145</v>
      </c>
      <c r="B60" s="6" t="s">
        <v>141</v>
      </c>
      <c r="C60" s="5">
        <v>2022</v>
      </c>
      <c r="D60" s="7">
        <v>891.00323486000002</v>
      </c>
      <c r="E60" s="11">
        <v>77.483000000000004</v>
      </c>
      <c r="F60" s="10">
        <f>Table1[[#This Row],[Life expectancy at birth, total (years) '[SP.DYN.LE00.IN']]]/Table1[[#This Row],[Current health expenditure per capita (current US$) '[SH.XPD.CHEX.PC.CD']]]</f>
        <v>8.6961524906443932E-2</v>
      </c>
      <c r="G60" s="4">
        <f>Table1[[#This Row],[Life expectancy at birth, total (years) '[SP.DYN.LE00.IN']]]/Table1[[#This Row],[Current health expenditure per capita (current US$) '[SH.XPD.CHEX.PC.CD']]]*1000</f>
        <v>86.961524906443927</v>
      </c>
    </row>
    <row r="61" spans="1:7" x14ac:dyDescent="0.25">
      <c r="A61" s="5" t="s">
        <v>145</v>
      </c>
      <c r="B61" s="6" t="s">
        <v>141</v>
      </c>
      <c r="C61" s="5">
        <v>2023</v>
      </c>
      <c r="D61" s="7">
        <v>841.24884033000001</v>
      </c>
      <c r="E61" s="11">
        <v>77.597999999999999</v>
      </c>
      <c r="F61" s="10">
        <f>Table1[[#This Row],[Life expectancy at birth, total (years) '[SP.DYN.LE00.IN']]]/Table1[[#This Row],[Current health expenditure per capita (current US$) '[SH.XPD.CHEX.PC.CD']]]</f>
        <v>9.2241434733580527E-2</v>
      </c>
      <c r="G61" s="4">
        <f>Table1[[#This Row],[Life expectancy at birth, total (years) '[SP.DYN.LE00.IN']]]/Table1[[#This Row],[Current health expenditure per capita (current US$) '[SH.XPD.CHEX.PC.CD']]]*1000</f>
        <v>92.241434733580533</v>
      </c>
    </row>
    <row r="62" spans="1:7" hidden="1" x14ac:dyDescent="0.25">
      <c r="B62" s="1"/>
      <c r="D62" s="3"/>
      <c r="E62"/>
      <c r="F62" t="e">
        <f>Table1[[#This Row],[Life expectancy at birth, total (years) '[SP.DYN.LE00.IN']]]/Table1[[#This Row],[Current health expenditure per capita (current US$) '[SH.XPD.CHEX.PC.CD']]]</f>
        <v>#DIV/0!</v>
      </c>
      <c r="G62" s="2" t="e">
        <f>Table1[[#This Row],[Life expectancy at birth, total (years) '[SP.DYN.LE00.IN']]]/Table1[[#This Row],[Current health expenditure per capita (current US$) '[SH.XPD.CHEX.PC.CD']]]*1000</f>
        <v>#DIV/0!</v>
      </c>
    </row>
    <row r="63" spans="1:7" x14ac:dyDescent="0.25">
      <c r="A63" s="5" t="s">
        <v>149</v>
      </c>
      <c r="B63" s="6" t="s">
        <v>129</v>
      </c>
      <c r="C63" s="5">
        <v>2015</v>
      </c>
      <c r="D63" s="7">
        <v>1523.90979004</v>
      </c>
      <c r="E63" s="11">
        <v>76.599999999999994</v>
      </c>
      <c r="F63" s="10">
        <f>Table1[[#This Row],[Life expectancy at birth, total (years) '[SP.DYN.LE00.IN']]]/Table1[[#This Row],[Current health expenditure per capita (current US$) '[SH.XPD.CHEX.PC.CD']]]</f>
        <v>5.0265442548268806E-2</v>
      </c>
      <c r="G63" s="4">
        <f>Table1[[#This Row],[Life expectancy at birth, total (years) '[SP.DYN.LE00.IN']]]/Table1[[#This Row],[Current health expenditure per capita (current US$) '[SH.XPD.CHEX.PC.CD']]]*1000</f>
        <v>50.265442548268808</v>
      </c>
    </row>
    <row r="64" spans="1:7" x14ac:dyDescent="0.25">
      <c r="A64" s="5" t="s">
        <v>149</v>
      </c>
      <c r="B64" s="6" t="s">
        <v>129</v>
      </c>
      <c r="C64" s="5">
        <v>2016</v>
      </c>
      <c r="D64" s="7">
        <v>1276.79785156</v>
      </c>
      <c r="E64" s="11">
        <v>76.105000000000004</v>
      </c>
      <c r="F64" s="10">
        <f>Table1[[#This Row],[Life expectancy at birth, total (years) '[SP.DYN.LE00.IN']]]/Table1[[#This Row],[Current health expenditure per capita (current US$) '[SH.XPD.CHEX.PC.CD']]]</f>
        <v>5.960614666371377E-2</v>
      </c>
      <c r="G64" s="4">
        <f>Table1[[#This Row],[Life expectancy at birth, total (years) '[SP.DYN.LE00.IN']]]/Table1[[#This Row],[Current health expenditure per capita (current US$) '[SH.XPD.CHEX.PC.CD']]]*1000</f>
        <v>59.606146663713773</v>
      </c>
    </row>
    <row r="65" spans="1:7" x14ac:dyDescent="0.25">
      <c r="A65" s="5" t="s">
        <v>149</v>
      </c>
      <c r="B65" s="6" t="s">
        <v>129</v>
      </c>
      <c r="C65" s="5">
        <v>2017</v>
      </c>
      <c r="D65" s="7">
        <v>1491.11877441</v>
      </c>
      <c r="E65" s="11">
        <v>76.543000000000006</v>
      </c>
      <c r="F65" s="10">
        <f>Table1[[#This Row],[Life expectancy at birth, total (years) '[SP.DYN.LE00.IN']]]/Table1[[#This Row],[Current health expenditure per capita (current US$) '[SH.XPD.CHEX.PC.CD']]]</f>
        <v>5.1332597586189091E-2</v>
      </c>
      <c r="G65" s="4">
        <f>Table1[[#This Row],[Life expectancy at birth, total (years) '[SP.DYN.LE00.IN']]]/Table1[[#This Row],[Current health expenditure per capita (current US$) '[SH.XPD.CHEX.PC.CD']]]*1000</f>
        <v>51.332597586189088</v>
      </c>
    </row>
    <row r="66" spans="1:7" x14ac:dyDescent="0.25">
      <c r="A66" s="5" t="s">
        <v>149</v>
      </c>
      <c r="B66" s="6" t="s">
        <v>129</v>
      </c>
      <c r="C66" s="5">
        <v>2018</v>
      </c>
      <c r="D66" s="7">
        <v>1195.59973145</v>
      </c>
      <c r="E66" s="11">
        <v>76.77</v>
      </c>
      <c r="F66" s="10">
        <f>Table1[[#This Row],[Life expectancy at birth, total (years) '[SP.DYN.LE00.IN']]]/Table1[[#This Row],[Current health expenditure per capita (current US$) '[SH.XPD.CHEX.PC.CD']]]</f>
        <v>6.421045269631738E-2</v>
      </c>
      <c r="G66" s="4">
        <f>Table1[[#This Row],[Life expectancy at birth, total (years) '[SP.DYN.LE00.IN']]]/Table1[[#This Row],[Current health expenditure per capita (current US$) '[SH.XPD.CHEX.PC.CD']]]*1000</f>
        <v>64.210452696317375</v>
      </c>
    </row>
    <row r="67" spans="1:7" x14ac:dyDescent="0.25">
      <c r="A67" s="5" t="s">
        <v>149</v>
      </c>
      <c r="B67" s="6" t="s">
        <v>129</v>
      </c>
      <c r="C67" s="5">
        <v>2019</v>
      </c>
      <c r="D67" s="7">
        <v>1007.45629883</v>
      </c>
      <c r="E67" s="11">
        <v>76.846999999999994</v>
      </c>
      <c r="F67" s="10">
        <f>Table1[[#This Row],[Life expectancy at birth, total (years) '[SP.DYN.LE00.IN']]]/Table1[[#This Row],[Current health expenditure per capita (current US$) '[SH.XPD.CHEX.PC.CD']]]</f>
        <v>7.6278246599128463E-2</v>
      </c>
      <c r="G67" s="4">
        <f>Table1[[#This Row],[Life expectancy at birth, total (years) '[SP.DYN.LE00.IN']]]/Table1[[#This Row],[Current health expenditure per capita (current US$) '[SH.XPD.CHEX.PC.CD']]]*1000</f>
        <v>76.278246599128465</v>
      </c>
    </row>
    <row r="68" spans="1:7" x14ac:dyDescent="0.25">
      <c r="A68" s="5" t="s">
        <v>149</v>
      </c>
      <c r="B68" s="6" t="s">
        <v>129</v>
      </c>
      <c r="C68" s="5">
        <v>2020</v>
      </c>
      <c r="D68" s="7">
        <v>910.95867920000001</v>
      </c>
      <c r="E68" s="11">
        <v>75.878</v>
      </c>
      <c r="F68" s="10">
        <f>Table1[[#This Row],[Life expectancy at birth, total (years) '[SP.DYN.LE00.IN']]]/Table1[[#This Row],[Current health expenditure per capita (current US$) '[SH.XPD.CHEX.PC.CD']]]</f>
        <v>8.3294667181431026E-2</v>
      </c>
      <c r="G68" s="4">
        <f>Table1[[#This Row],[Life expectancy at birth, total (years) '[SP.DYN.LE00.IN']]]/Table1[[#This Row],[Current health expenditure per capita (current US$) '[SH.XPD.CHEX.PC.CD']]]*1000</f>
        <v>83.294667181431024</v>
      </c>
    </row>
    <row r="69" spans="1:7" x14ac:dyDescent="0.25">
      <c r="A69" s="5" t="s">
        <v>149</v>
      </c>
      <c r="B69" s="6" t="s">
        <v>129</v>
      </c>
      <c r="C69" s="5">
        <v>2021</v>
      </c>
      <c r="D69" s="7">
        <v>1182.1593017600001</v>
      </c>
      <c r="E69" s="11">
        <v>73.947999999999993</v>
      </c>
      <c r="F69" s="10">
        <f>Table1[[#This Row],[Life expectancy at birth, total (years) '[SP.DYN.LE00.IN']]]/Table1[[#This Row],[Current health expenditure per capita (current US$) '[SH.XPD.CHEX.PC.CD']]]</f>
        <v>6.2553329225516499E-2</v>
      </c>
      <c r="G69" s="4">
        <f>Table1[[#This Row],[Life expectancy at birth, total (years) '[SP.DYN.LE00.IN']]]/Table1[[#This Row],[Current health expenditure per capita (current US$) '[SH.XPD.CHEX.PC.CD']]]*1000</f>
        <v>62.553329225516499</v>
      </c>
    </row>
    <row r="70" spans="1:7" x14ac:dyDescent="0.25">
      <c r="A70" s="5" t="s">
        <v>149</v>
      </c>
      <c r="B70" s="6" t="s">
        <v>129</v>
      </c>
      <c r="C70" s="5">
        <v>2022</v>
      </c>
      <c r="D70" s="7">
        <v>1415.7957763700001</v>
      </c>
      <c r="E70" s="11">
        <v>75.805999999999997</v>
      </c>
      <c r="F70" s="10">
        <f>Table1[[#This Row],[Life expectancy at birth, total (years) '[SP.DYN.LE00.IN']]]/Table1[[#This Row],[Current health expenditure per capita (current US$) '[SH.XPD.CHEX.PC.CD']]]</f>
        <v>5.3543033017347461E-2</v>
      </c>
      <c r="G70" s="4">
        <f>Table1[[#This Row],[Life expectancy at birth, total (years) '[SP.DYN.LE00.IN']]]/Table1[[#This Row],[Current health expenditure per capita (current US$) '[SH.XPD.CHEX.PC.CD']]]*1000</f>
        <v>53.543033017347462</v>
      </c>
    </row>
    <row r="71" spans="1:7" x14ac:dyDescent="0.25">
      <c r="A71" s="5" t="s">
        <v>149</v>
      </c>
      <c r="B71" s="6" t="s">
        <v>129</v>
      </c>
      <c r="C71" s="5">
        <v>2023</v>
      </c>
      <c r="D71" s="7">
        <v>1456.98596191</v>
      </c>
      <c r="E71" s="11">
        <v>77.394999999999996</v>
      </c>
      <c r="F71" s="10">
        <f>Table1[[#This Row],[Life expectancy at birth, total (years) '[SP.DYN.LE00.IN']]]/Table1[[#This Row],[Current health expenditure per capita (current US$) '[SH.XPD.CHEX.PC.CD']]]</f>
        <v>5.3119935279637778E-2</v>
      </c>
      <c r="G71" s="4">
        <f>Table1[[#This Row],[Life expectancy at birth, total (years) '[SP.DYN.LE00.IN']]]/Table1[[#This Row],[Current health expenditure per capita (current US$) '[SH.XPD.CHEX.PC.CD']]]*1000</f>
        <v>53.11993527963778</v>
      </c>
    </row>
    <row r="72" spans="1:7" hidden="1" x14ac:dyDescent="0.25">
      <c r="B72" s="1"/>
      <c r="D72" s="3"/>
      <c r="E72"/>
      <c r="F72" t="e">
        <f>Table1[[#This Row],[Life expectancy at birth, total (years) '[SP.DYN.LE00.IN']]]/Table1[[#This Row],[Current health expenditure per capita (current US$) '[SH.XPD.CHEX.PC.CD']]]</f>
        <v>#DIV/0!</v>
      </c>
      <c r="G72" s="2" t="e">
        <f>Table1[[#This Row],[Life expectancy at birth, total (years) '[SP.DYN.LE00.IN']]]/Table1[[#This Row],[Current health expenditure per capita (current US$) '[SH.XPD.CHEX.PC.CD']]]*1000</f>
        <v>#DIV/0!</v>
      </c>
    </row>
    <row r="73" spans="1:7" x14ac:dyDescent="0.25">
      <c r="A73" s="5" t="s">
        <v>159</v>
      </c>
      <c r="B73" s="6" t="s">
        <v>96</v>
      </c>
      <c r="C73" s="5">
        <v>2015</v>
      </c>
      <c r="D73" s="7">
        <v>365.51950073</v>
      </c>
      <c r="E73" s="11">
        <v>74.870731707317091</v>
      </c>
      <c r="F73" s="10">
        <f>Table1[[#This Row],[Life expectancy at birth, total (years) '[SP.DYN.LE00.IN']]]/Table1[[#This Row],[Current health expenditure per capita (current US$) '[SH.XPD.CHEX.PC.CD']]]</f>
        <v>0.20483375458159811</v>
      </c>
      <c r="G73" s="4">
        <f>Table1[[#This Row],[Life expectancy at birth, total (years) '[SP.DYN.LE00.IN']]]/Table1[[#This Row],[Current health expenditure per capita (current US$) '[SH.XPD.CHEX.PC.CD']]]*1000</f>
        <v>204.8337545815981</v>
      </c>
    </row>
    <row r="74" spans="1:7" x14ac:dyDescent="0.25">
      <c r="A74" s="5" t="s">
        <v>159</v>
      </c>
      <c r="B74" s="6" t="s">
        <v>96</v>
      </c>
      <c r="C74" s="5">
        <v>2016</v>
      </c>
      <c r="D74" s="7">
        <v>359.58227539000001</v>
      </c>
      <c r="E74" s="11">
        <v>74.868292682926835</v>
      </c>
      <c r="F74" s="10">
        <f>Table1[[#This Row],[Life expectancy at birth, total (years) '[SP.DYN.LE00.IN']]]/Table1[[#This Row],[Current health expenditure per capita (current US$) '[SH.XPD.CHEX.PC.CD']]]</f>
        <v>0.20820907427020782</v>
      </c>
      <c r="G74" s="4">
        <f>Table1[[#This Row],[Life expectancy at birth, total (years) '[SP.DYN.LE00.IN']]]/Table1[[#This Row],[Current health expenditure per capita (current US$) '[SH.XPD.CHEX.PC.CD']]]*1000</f>
        <v>208.20907427020782</v>
      </c>
    </row>
    <row r="75" spans="1:7" x14ac:dyDescent="0.25">
      <c r="A75" s="5" t="s">
        <v>159</v>
      </c>
      <c r="B75" s="6" t="s">
        <v>96</v>
      </c>
      <c r="C75" s="5">
        <v>2017</v>
      </c>
      <c r="D75" s="7">
        <v>409.80145263999998</v>
      </c>
      <c r="E75" s="11">
        <v>75.217073170731709</v>
      </c>
      <c r="F75" s="10">
        <f>Table1[[#This Row],[Life expectancy at birth, total (years) '[SP.DYN.LE00.IN']]]/Table1[[#This Row],[Current health expenditure per capita (current US$) '[SH.XPD.CHEX.PC.CD']]]</f>
        <v>0.1835451599455602</v>
      </c>
      <c r="G75" s="4">
        <f>Table1[[#This Row],[Life expectancy at birth, total (years) '[SP.DYN.LE00.IN']]]/Table1[[#This Row],[Current health expenditure per capita (current US$) '[SH.XPD.CHEX.PC.CD']]]*1000</f>
        <v>183.54515994556019</v>
      </c>
    </row>
    <row r="76" spans="1:7" x14ac:dyDescent="0.25">
      <c r="A76" s="5" t="s">
        <v>159</v>
      </c>
      <c r="B76" s="6" t="s">
        <v>96</v>
      </c>
      <c r="C76" s="5">
        <v>2018</v>
      </c>
      <c r="D76" s="7">
        <v>428.34579467999998</v>
      </c>
      <c r="E76" s="11">
        <v>75.619512195121956</v>
      </c>
      <c r="F76" s="10">
        <f>Table1[[#This Row],[Life expectancy at birth, total (years) '[SP.DYN.LE00.IN']]]/Table1[[#This Row],[Current health expenditure per capita (current US$) '[SH.XPD.CHEX.PC.CD']]]</f>
        <v>0.17653847226774871</v>
      </c>
      <c r="G76" s="4">
        <f>Table1[[#This Row],[Life expectancy at birth, total (years) '[SP.DYN.LE00.IN']]]/Table1[[#This Row],[Current health expenditure per capita (current US$) '[SH.XPD.CHEX.PC.CD']]]*1000</f>
        <v>176.53847226774872</v>
      </c>
    </row>
    <row r="77" spans="1:7" x14ac:dyDescent="0.25">
      <c r="A77" s="5" t="s">
        <v>159</v>
      </c>
      <c r="B77" s="6" t="s">
        <v>96</v>
      </c>
      <c r="C77" s="5">
        <v>2019</v>
      </c>
      <c r="D77" s="7">
        <v>533.69952393000005</v>
      </c>
      <c r="E77" s="11">
        <v>76.221951219512206</v>
      </c>
      <c r="F77" s="10">
        <f>Table1[[#This Row],[Life expectancy at birth, total (years) '[SP.DYN.LE00.IN']]]/Table1[[#This Row],[Current health expenditure per capita (current US$) '[SH.XPD.CHEX.PC.CD']]]</f>
        <v>0.14281809857771105</v>
      </c>
      <c r="G77" s="4">
        <f>Table1[[#This Row],[Life expectancy at birth, total (years) '[SP.DYN.LE00.IN']]]/Table1[[#This Row],[Current health expenditure per capita (current US$) '[SH.XPD.CHEX.PC.CD']]]*1000</f>
        <v>142.81809857771105</v>
      </c>
    </row>
    <row r="78" spans="1:7" x14ac:dyDescent="0.25">
      <c r="A78" s="5" t="s">
        <v>159</v>
      </c>
      <c r="B78" s="6" t="s">
        <v>96</v>
      </c>
      <c r="C78" s="5">
        <v>2020</v>
      </c>
      <c r="D78" s="7">
        <v>535.27239989999998</v>
      </c>
      <c r="E78" s="11">
        <v>73.375609756097575</v>
      </c>
      <c r="F78" s="10">
        <f>Table1[[#This Row],[Life expectancy at birth, total (years) '[SP.DYN.LE00.IN']]]/Table1[[#This Row],[Current health expenditure per capita (current US$) '[SH.XPD.CHEX.PC.CD']]]</f>
        <v>0.1370808765215723</v>
      </c>
      <c r="G78" s="4">
        <f>Table1[[#This Row],[Life expectancy at birth, total (years) '[SP.DYN.LE00.IN']]]/Table1[[#This Row],[Current health expenditure per capita (current US$) '[SH.XPD.CHEX.PC.CD']]]*1000</f>
        <v>137.08087652157229</v>
      </c>
    </row>
    <row r="79" spans="1:7" x14ac:dyDescent="0.25">
      <c r="A79" s="5" t="s">
        <v>159</v>
      </c>
      <c r="B79" s="6" t="s">
        <v>96</v>
      </c>
      <c r="C79" s="5">
        <v>2021</v>
      </c>
      <c r="D79" s="7">
        <v>595.83544921999999</v>
      </c>
      <c r="E79" s="11">
        <v>72.278048780487822</v>
      </c>
      <c r="F79" s="10">
        <f>Table1[[#This Row],[Life expectancy at birth, total (years) '[SP.DYN.LE00.IN']]]/Table1[[#This Row],[Current health expenditure per capita (current US$) '[SH.XPD.CHEX.PC.CD']]]</f>
        <v>0.12130538536286491</v>
      </c>
      <c r="G79" s="4">
        <f>Table1[[#This Row],[Life expectancy at birth, total (years) '[SP.DYN.LE00.IN']]]/Table1[[#This Row],[Current health expenditure per capita (current US$) '[SH.XPD.CHEX.PC.CD']]]*1000</f>
        <v>121.30538536286491</v>
      </c>
    </row>
    <row r="80" spans="1:7" x14ac:dyDescent="0.25">
      <c r="A80" s="5" t="s">
        <v>159</v>
      </c>
      <c r="B80" s="6" t="s">
        <v>96</v>
      </c>
      <c r="C80" s="5">
        <v>2022</v>
      </c>
      <c r="D80" s="7">
        <v>674.78619385000002</v>
      </c>
      <c r="E80" s="11">
        <v>74.765853658536599</v>
      </c>
      <c r="F80" s="10">
        <f>Table1[[#This Row],[Life expectancy at birth, total (years) '[SP.DYN.LE00.IN']]]/Table1[[#This Row],[Current health expenditure per capita (current US$) '[SH.XPD.CHEX.PC.CD']]]</f>
        <v>0.11079932331152065</v>
      </c>
      <c r="G80" s="4">
        <f>Table1[[#This Row],[Life expectancy at birth, total (years) '[SP.DYN.LE00.IN']]]/Table1[[#This Row],[Current health expenditure per capita (current US$) '[SH.XPD.CHEX.PC.CD']]]*1000</f>
        <v>110.79932331152065</v>
      </c>
    </row>
    <row r="81" spans="1:7" x14ac:dyDescent="0.25">
      <c r="A81" s="5" t="s">
        <v>159</v>
      </c>
      <c r="B81" s="6" t="s">
        <v>96</v>
      </c>
      <c r="C81" s="5">
        <v>2023</v>
      </c>
      <c r="D81" s="7">
        <v>766.95874022999999</v>
      </c>
      <c r="E81" s="11">
        <v>77.465853658536602</v>
      </c>
      <c r="F81" s="10">
        <f>Table1[[#This Row],[Life expectancy at birth, total (years) '[SP.DYN.LE00.IN']]]/Table1[[#This Row],[Current health expenditure per capita (current US$) '[SH.XPD.CHEX.PC.CD']]]</f>
        <v>0.10100393879767991</v>
      </c>
      <c r="G81" s="4">
        <f>Table1[[#This Row],[Life expectancy at birth, total (years) '[SP.DYN.LE00.IN']]]/Table1[[#This Row],[Current health expenditure per capita (current US$) '[SH.XPD.CHEX.PC.CD']]]*1000</f>
        <v>101.00393879767991</v>
      </c>
    </row>
    <row r="82" spans="1:7" hidden="1" x14ac:dyDescent="0.25">
      <c r="B82" s="1"/>
      <c r="D82" s="3"/>
      <c r="E82"/>
      <c r="F82" t="e">
        <f>Table1[[#This Row],[Life expectancy at birth, total (years) '[SP.DYN.LE00.IN']]]/Table1[[#This Row],[Current health expenditure per capita (current US$) '[SH.XPD.CHEX.PC.CD']]]</f>
        <v>#DIV/0!</v>
      </c>
      <c r="G82" s="2" t="e">
        <f>Table1[[#This Row],[Life expectancy at birth, total (years) '[SP.DYN.LE00.IN']]]/Table1[[#This Row],[Current health expenditure per capita (current US$) '[SH.XPD.CHEX.PC.CD']]]*1000</f>
        <v>#DIV/0!</v>
      </c>
    </row>
    <row r="83" spans="1:7" x14ac:dyDescent="0.25">
      <c r="A83" s="5" t="s">
        <v>335</v>
      </c>
      <c r="B83" s="6" t="s">
        <v>342</v>
      </c>
      <c r="C83" s="5">
        <v>2015</v>
      </c>
      <c r="D83" s="7">
        <v>5271.9331054699996</v>
      </c>
      <c r="E83" s="11">
        <v>82.40000000000002</v>
      </c>
      <c r="F83" s="10">
        <f>Table1[[#This Row],[Life expectancy at birth, total (years) '[SP.DYN.LE00.IN']]]/Table1[[#This Row],[Current health expenditure per capita (current US$) '[SH.XPD.CHEX.PC.CD']]]</f>
        <v>1.5629940356129378E-2</v>
      </c>
      <c r="G83" s="4">
        <f>Table1[[#This Row],[Life expectancy at birth, total (years) '[SP.DYN.LE00.IN']]]/Table1[[#This Row],[Current health expenditure per capita (current US$) '[SH.XPD.CHEX.PC.CD']]]*1000</f>
        <v>15.629940356129378</v>
      </c>
    </row>
    <row r="84" spans="1:7" x14ac:dyDescent="0.25">
      <c r="A84" s="5" t="s">
        <v>335</v>
      </c>
      <c r="B84" s="6" t="s">
        <v>342</v>
      </c>
      <c r="C84" s="5">
        <v>2016</v>
      </c>
      <c r="D84" s="7">
        <v>5418.4365234400002</v>
      </c>
      <c r="E84" s="11">
        <v>82.448780487804896</v>
      </c>
      <c r="F84" s="10">
        <f>Table1[[#This Row],[Life expectancy at birth, total (years) '[SP.DYN.LE00.IN']]]/Table1[[#This Row],[Current health expenditure per capita (current US$) '[SH.XPD.CHEX.PC.CD']]]</f>
        <v>1.5216341490969553E-2</v>
      </c>
      <c r="G84" s="4">
        <f>Table1[[#This Row],[Life expectancy at birth, total (years) '[SP.DYN.LE00.IN']]]/Table1[[#This Row],[Current health expenditure per capita (current US$) '[SH.XPD.CHEX.PC.CD']]]*1000</f>
        <v>15.216341490969553</v>
      </c>
    </row>
    <row r="85" spans="1:7" x14ac:dyDescent="0.25">
      <c r="A85" s="5" t="s">
        <v>335</v>
      </c>
      <c r="B85" s="6" t="s">
        <v>342</v>
      </c>
      <c r="C85" s="5">
        <v>2017</v>
      </c>
      <c r="D85" s="7">
        <v>5770.6904296900002</v>
      </c>
      <c r="E85" s="11">
        <v>82.500000000000014</v>
      </c>
      <c r="F85" s="10">
        <f>Table1[[#This Row],[Life expectancy at birth, total (years) '[SP.DYN.LE00.IN']]]/Table1[[#This Row],[Current health expenditure per capita (current US$) '[SH.XPD.CHEX.PC.CD']]]</f>
        <v>1.4296382903428748E-2</v>
      </c>
      <c r="G85" s="4">
        <f>Table1[[#This Row],[Life expectancy at birth, total (years) '[SP.DYN.LE00.IN']]]/Table1[[#This Row],[Current health expenditure per capita (current US$) '[SH.XPD.CHEX.PC.CD']]]*1000</f>
        <v>14.296382903428748</v>
      </c>
    </row>
    <row r="86" spans="1:7" x14ac:dyDescent="0.25">
      <c r="A86" s="5" t="s">
        <v>335</v>
      </c>
      <c r="B86" s="6" t="s">
        <v>342</v>
      </c>
      <c r="C86" s="5">
        <v>2018</v>
      </c>
      <c r="D86" s="7">
        <v>5843.6479492199996</v>
      </c>
      <c r="E86" s="11">
        <v>82.748780487804893</v>
      </c>
      <c r="F86" s="10">
        <f>Table1[[#This Row],[Life expectancy at birth, total (years) '[SP.DYN.LE00.IN']]]/Table1[[#This Row],[Current health expenditure per capita (current US$) '[SH.XPD.CHEX.PC.CD']]]</f>
        <v>1.4160466408461527E-2</v>
      </c>
      <c r="G86" s="4">
        <f>Table1[[#This Row],[Life expectancy at birth, total (years) '[SP.DYN.LE00.IN']]]/Table1[[#This Row],[Current health expenditure per capita (current US$) '[SH.XPD.CHEX.PC.CD']]]*1000</f>
        <v>14.160466408461527</v>
      </c>
    </row>
    <row r="87" spans="1:7" x14ac:dyDescent="0.25">
      <c r="A87" s="5" t="s">
        <v>335</v>
      </c>
      <c r="B87" s="6" t="s">
        <v>342</v>
      </c>
      <c r="C87" s="5">
        <v>2019</v>
      </c>
      <c r="D87" s="7">
        <v>5543.3784179699996</v>
      </c>
      <c r="E87" s="11">
        <v>82.9</v>
      </c>
      <c r="F87" s="10">
        <f>Table1[[#This Row],[Life expectancy at birth, total (years) '[SP.DYN.LE00.IN']]]/Table1[[#This Row],[Current health expenditure per capita (current US$) '[SH.XPD.CHEX.PC.CD']]]</f>
        <v>1.4954779152594496E-2</v>
      </c>
      <c r="G87" s="4">
        <f>Table1[[#This Row],[Life expectancy at birth, total (years) '[SP.DYN.LE00.IN']]]/Table1[[#This Row],[Current health expenditure per capita (current US$) '[SH.XPD.CHEX.PC.CD']]]*1000</f>
        <v>14.954779152594496</v>
      </c>
    </row>
    <row r="88" spans="1:7" x14ac:dyDescent="0.25">
      <c r="A88" s="5" t="s">
        <v>335</v>
      </c>
      <c r="B88" s="6" t="s">
        <v>342</v>
      </c>
      <c r="C88" s="5">
        <v>2020</v>
      </c>
      <c r="D88" s="7">
        <v>5968.0034179699996</v>
      </c>
      <c r="E88" s="11">
        <v>83.2</v>
      </c>
      <c r="F88" s="10">
        <f>Table1[[#This Row],[Life expectancy at birth, total (years) '[SP.DYN.LE00.IN']]]/Table1[[#This Row],[Current health expenditure per capita (current US$) '[SH.XPD.CHEX.PC.CD']]]</f>
        <v>1.3941010782513972E-2</v>
      </c>
      <c r="G88" s="4">
        <f>Table1[[#This Row],[Life expectancy at birth, total (years) '[SP.DYN.LE00.IN']]]/Table1[[#This Row],[Current health expenditure per capita (current US$) '[SH.XPD.CHEX.PC.CD']]]*1000</f>
        <v>13.941010782513972</v>
      </c>
    </row>
    <row r="89" spans="1:7" x14ac:dyDescent="0.25">
      <c r="A89" s="5" t="s">
        <v>335</v>
      </c>
      <c r="B89" s="6" t="s">
        <v>342</v>
      </c>
      <c r="C89" s="5">
        <v>2021</v>
      </c>
      <c r="D89" s="7">
        <v>7092.1347656300004</v>
      </c>
      <c r="E89" s="11">
        <v>83.3</v>
      </c>
      <c r="F89" s="10">
        <f>Table1[[#This Row],[Life expectancy at birth, total (years) '[SP.DYN.LE00.IN']]]/Table1[[#This Row],[Current health expenditure per capita (current US$) '[SH.XPD.CHEX.PC.CD']]]</f>
        <v>1.1745405685702644E-2</v>
      </c>
      <c r="G89" s="4">
        <f>Table1[[#This Row],[Life expectancy at birth, total (years) '[SP.DYN.LE00.IN']]]/Table1[[#This Row],[Current health expenditure per capita (current US$) '[SH.XPD.CHEX.PC.CD']]]*1000</f>
        <v>11.745405685702645</v>
      </c>
    </row>
    <row r="90" spans="1:7" x14ac:dyDescent="0.25">
      <c r="A90" s="5" t="s">
        <v>335</v>
      </c>
      <c r="B90" s="6" t="s">
        <v>342</v>
      </c>
      <c r="C90" s="5">
        <v>2022</v>
      </c>
      <c r="D90" s="7">
        <v>6723.9824218800004</v>
      </c>
      <c r="E90" s="11">
        <v>83.2</v>
      </c>
      <c r="F90" s="10">
        <f>Table1[[#This Row],[Life expectancy at birth, total (years) '[SP.DYN.LE00.IN']]]/Table1[[#This Row],[Current health expenditure per capita (current US$) '[SH.XPD.CHEX.PC.CD']]]</f>
        <v>1.2373619498061922E-2</v>
      </c>
      <c r="G90" s="4">
        <f>Table1[[#This Row],[Life expectancy at birth, total (years) '[SP.DYN.LE00.IN']]]/Table1[[#This Row],[Current health expenditure per capita (current US$) '[SH.XPD.CHEX.PC.CD']]]*1000</f>
        <v>12.373619498061922</v>
      </c>
    </row>
    <row r="91" spans="1:7" x14ac:dyDescent="0.25">
      <c r="A91" s="5" t="s">
        <v>335</v>
      </c>
      <c r="B91" s="6" t="s">
        <v>342</v>
      </c>
      <c r="C91" s="5">
        <v>2023</v>
      </c>
      <c r="D91" s="7">
        <v>6980.3852539099998</v>
      </c>
      <c r="E91" s="11">
        <v>83.051219512195132</v>
      </c>
      <c r="F91" s="10">
        <f>Table1[[#This Row],[Life expectancy at birth, total (years) '[SP.DYN.LE00.IN']]]/Table1[[#This Row],[Current health expenditure per capita (current US$) '[SH.XPD.CHEX.PC.CD']]]</f>
        <v>1.1897798830755759E-2</v>
      </c>
      <c r="G91" s="4">
        <f>Table1[[#This Row],[Life expectancy at birth, total (years) '[SP.DYN.LE00.IN']]]/Table1[[#This Row],[Current health expenditure per capita (current US$) '[SH.XPD.CHEX.PC.CD']]]*1000</f>
        <v>11.897798830755759</v>
      </c>
    </row>
    <row r="92" spans="1:7" hidden="1" x14ac:dyDescent="0.25">
      <c r="B92" s="1"/>
      <c r="D92" s="3"/>
      <c r="E92"/>
      <c r="F92" t="e">
        <f>Table1[[#This Row],[Life expectancy at birth, total (years) '[SP.DYN.LE00.IN']]]/Table1[[#This Row],[Current health expenditure per capita (current US$) '[SH.XPD.CHEX.PC.CD']]]</f>
        <v>#DIV/0!</v>
      </c>
      <c r="G92" s="2" t="e">
        <f>Table1[[#This Row],[Life expectancy at birth, total (years) '[SP.DYN.LE00.IN']]]/Table1[[#This Row],[Current health expenditure per capita (current US$) '[SH.XPD.CHEX.PC.CD']]]*1000</f>
        <v>#DIV/0!</v>
      </c>
    </row>
    <row r="93" spans="1:7" x14ac:dyDescent="0.25">
      <c r="A93" s="5" t="s">
        <v>193</v>
      </c>
      <c r="B93" s="6" t="s">
        <v>236</v>
      </c>
      <c r="C93" s="5">
        <v>2015</v>
      </c>
      <c r="D93" s="7">
        <v>4649.5966796900002</v>
      </c>
      <c r="E93" s="11">
        <v>81.190243902439036</v>
      </c>
      <c r="F93" s="10">
        <f>Table1[[#This Row],[Life expectancy at birth, total (years) '[SP.DYN.LE00.IN']]]/Table1[[#This Row],[Current health expenditure per capita (current US$) '[SH.XPD.CHEX.PC.CD']]]</f>
        <v>1.7461782063181486E-2</v>
      </c>
      <c r="G93" s="4">
        <f>Table1[[#This Row],[Life expectancy at birth, total (years) '[SP.DYN.LE00.IN']]]/Table1[[#This Row],[Current health expenditure per capita (current US$) '[SH.XPD.CHEX.PC.CD']]]*1000</f>
        <v>17.461782063181488</v>
      </c>
    </row>
    <row r="94" spans="1:7" x14ac:dyDescent="0.25">
      <c r="A94" s="5" t="s">
        <v>193</v>
      </c>
      <c r="B94" s="6" t="s">
        <v>236</v>
      </c>
      <c r="C94" s="5">
        <v>2016</v>
      </c>
      <c r="D94" s="7">
        <v>4758.8989257800004</v>
      </c>
      <c r="E94" s="11">
        <v>81.64146341463416</v>
      </c>
      <c r="F94" s="10">
        <f>Table1[[#This Row],[Life expectancy at birth, total (years) '[SP.DYN.LE00.IN']]]/Table1[[#This Row],[Current health expenditure per capita (current US$) '[SH.XPD.CHEX.PC.CD']]]</f>
        <v>1.715553633055E-2</v>
      </c>
      <c r="G94" s="4">
        <f>Table1[[#This Row],[Life expectancy at birth, total (years) '[SP.DYN.LE00.IN']]]/Table1[[#This Row],[Current health expenditure per capita (current US$) '[SH.XPD.CHEX.PC.CD']]]*1000</f>
        <v>17.155536330549999</v>
      </c>
    </row>
    <row r="95" spans="1:7" x14ac:dyDescent="0.25">
      <c r="A95" s="5" t="s">
        <v>193</v>
      </c>
      <c r="B95" s="6" t="s">
        <v>236</v>
      </c>
      <c r="C95" s="5">
        <v>2017</v>
      </c>
      <c r="D95" s="7">
        <v>4999.8696289099998</v>
      </c>
      <c r="E95" s="11">
        <v>81.643902439024401</v>
      </c>
      <c r="F95" s="10">
        <f>Table1[[#This Row],[Life expectancy at birth, total (years) '[SP.DYN.LE00.IN']]]/Table1[[#This Row],[Current health expenditure per capita (current US$) '[SH.XPD.CHEX.PC.CD']]]</f>
        <v>1.6329206259088649E-2</v>
      </c>
      <c r="G95" s="4">
        <f>Table1[[#This Row],[Life expectancy at birth, total (years) '[SP.DYN.LE00.IN']]]/Table1[[#This Row],[Current health expenditure per capita (current US$) '[SH.XPD.CHEX.PC.CD']]]*1000</f>
        <v>16.32920625908865</v>
      </c>
    </row>
    <row r="96" spans="1:7" x14ac:dyDescent="0.25">
      <c r="A96" s="5" t="s">
        <v>193</v>
      </c>
      <c r="B96" s="6" t="s">
        <v>236</v>
      </c>
      <c r="C96" s="5">
        <v>2018</v>
      </c>
      <c r="D96" s="7">
        <v>5394.5590820300004</v>
      </c>
      <c r="E96" s="11">
        <v>81.692682926829278</v>
      </c>
      <c r="F96" s="10">
        <f>Table1[[#This Row],[Life expectancy at birth, total (years) '[SP.DYN.LE00.IN']]]/Table1[[#This Row],[Current health expenditure per capita (current US$) '[SH.XPD.CHEX.PC.CD']]]</f>
        <v>1.5143532897611328E-2</v>
      </c>
      <c r="G96" s="4">
        <f>Table1[[#This Row],[Life expectancy at birth, total (years) '[SP.DYN.LE00.IN']]]/Table1[[#This Row],[Current health expenditure per capita (current US$) '[SH.XPD.CHEX.PC.CD']]]*1000</f>
        <v>15.143532897611328</v>
      </c>
    </row>
    <row r="97" spans="1:7" x14ac:dyDescent="0.25">
      <c r="A97" s="5" t="s">
        <v>193</v>
      </c>
      <c r="B97" s="6" t="s">
        <v>236</v>
      </c>
      <c r="C97" s="5">
        <v>2019</v>
      </c>
      <c r="D97" s="7">
        <v>5313.1928710900002</v>
      </c>
      <c r="E97" s="11">
        <v>81.895121951219508</v>
      </c>
      <c r="F97" s="10">
        <f>Table1[[#This Row],[Life expectancy at birth, total (years) '[SP.DYN.LE00.IN']]]/Table1[[#This Row],[Current health expenditure per capita (current US$) '[SH.XPD.CHEX.PC.CD']]]</f>
        <v>1.541354209007262E-2</v>
      </c>
      <c r="G97" s="4">
        <f>Table1[[#This Row],[Life expectancy at birth, total (years) '[SP.DYN.LE00.IN']]]/Table1[[#This Row],[Current health expenditure per capita (current US$) '[SH.XPD.CHEX.PC.CD']]]*1000</f>
        <v>15.413542090072619</v>
      </c>
    </row>
    <row r="98" spans="1:7" x14ac:dyDescent="0.25">
      <c r="A98" s="5" t="s">
        <v>193</v>
      </c>
      <c r="B98" s="6" t="s">
        <v>236</v>
      </c>
      <c r="C98" s="5">
        <v>2020</v>
      </c>
      <c r="D98" s="7">
        <v>5569.8413085900002</v>
      </c>
      <c r="E98" s="11">
        <v>81.192682926829278</v>
      </c>
      <c r="F98" s="10">
        <f>Table1[[#This Row],[Life expectancy at birth, total (years) '[SP.DYN.LE00.IN']]]/Table1[[#This Row],[Current health expenditure per capita (current US$) '[SH.XPD.CHEX.PC.CD']]]</f>
        <v>1.4577198600184738E-2</v>
      </c>
      <c r="G98" s="4">
        <f>Table1[[#This Row],[Life expectancy at birth, total (years) '[SP.DYN.LE00.IN']]]/Table1[[#This Row],[Current health expenditure per capita (current US$) '[SH.XPD.CHEX.PC.CD']]]*1000</f>
        <v>14.577198600184738</v>
      </c>
    </row>
    <row r="99" spans="1:7" x14ac:dyDescent="0.25">
      <c r="A99" s="5" t="s">
        <v>193</v>
      </c>
      <c r="B99" s="6" t="s">
        <v>236</v>
      </c>
      <c r="C99" s="5">
        <v>2021</v>
      </c>
      <c r="D99" s="7">
        <v>6554.1425781300004</v>
      </c>
      <c r="E99" s="11">
        <v>81.190243902439036</v>
      </c>
      <c r="F99" s="10">
        <f>Table1[[#This Row],[Life expectancy at birth, total (years) '[SP.DYN.LE00.IN']]]/Table1[[#This Row],[Current health expenditure per capita (current US$) '[SH.XPD.CHEX.PC.CD']]]</f>
        <v>1.2387622474579106E-2</v>
      </c>
      <c r="G99" s="4">
        <f>Table1[[#This Row],[Life expectancy at birth, total (years) '[SP.DYN.LE00.IN']]]/Table1[[#This Row],[Current health expenditure per capita (current US$) '[SH.XPD.CHEX.PC.CD']]]*1000</f>
        <v>12.387622474579105</v>
      </c>
    </row>
    <row r="100" spans="1:7" x14ac:dyDescent="0.25">
      <c r="A100" s="5" t="s">
        <v>193</v>
      </c>
      <c r="B100" s="6" t="s">
        <v>236</v>
      </c>
      <c r="C100" s="5">
        <v>2022</v>
      </c>
      <c r="D100" s="7">
        <v>5897.9760742199996</v>
      </c>
      <c r="E100" s="11">
        <v>81.2951219512195</v>
      </c>
      <c r="F100" s="10">
        <f>Table1[[#This Row],[Life expectancy at birth, total (years) '[SP.DYN.LE00.IN']]]/Table1[[#This Row],[Current health expenditure per capita (current US$) '[SH.XPD.CHEX.PC.CD']]]</f>
        <v>1.3783562518430643E-2</v>
      </c>
      <c r="G100" s="4">
        <f>Table1[[#This Row],[Life expectancy at birth, total (years) '[SP.DYN.LE00.IN']]]/Table1[[#This Row],[Current health expenditure per capita (current US$) '[SH.XPD.CHEX.PC.CD']]]*1000</f>
        <v>13.783562518430642</v>
      </c>
    </row>
    <row r="101" spans="1:7" x14ac:dyDescent="0.25">
      <c r="A101" s="5" t="s">
        <v>193</v>
      </c>
      <c r="B101" s="6" t="s">
        <v>236</v>
      </c>
      <c r="C101" s="5">
        <v>2023</v>
      </c>
      <c r="D101" s="7">
        <v>6267.9316406300004</v>
      </c>
      <c r="E101" s="11">
        <v>81.541463414634165</v>
      </c>
      <c r="F101" s="10">
        <f>Table1[[#This Row],[Life expectancy at birth, total (years) '[SP.DYN.LE00.IN']]]/Table1[[#This Row],[Current health expenditure per capita (current US$) '[SH.XPD.CHEX.PC.CD']]]</f>
        <v>1.3009309623938129E-2</v>
      </c>
      <c r="G101" s="4">
        <f>Table1[[#This Row],[Life expectancy at birth, total (years) '[SP.DYN.LE00.IN']]]/Table1[[#This Row],[Current health expenditure per capita (current US$) '[SH.XPD.CHEX.PC.CD']]]*1000</f>
        <v>13.00930962393813</v>
      </c>
    </row>
    <row r="102" spans="1:7" hidden="1" x14ac:dyDescent="0.25">
      <c r="B102" s="1"/>
      <c r="D102" s="3"/>
      <c r="E102"/>
      <c r="F102" t="e">
        <f>Table1[[#This Row],[Life expectancy at birth, total (years) '[SP.DYN.LE00.IN']]]/Table1[[#This Row],[Current health expenditure per capita (current US$) '[SH.XPD.CHEX.PC.CD']]]</f>
        <v>#DIV/0!</v>
      </c>
      <c r="G102" s="2" t="e">
        <f>Table1[[#This Row],[Life expectancy at birth, total (years) '[SP.DYN.LE00.IN']]]/Table1[[#This Row],[Current health expenditure per capita (current US$) '[SH.XPD.CHEX.PC.CD']]]*1000</f>
        <v>#DIV/0!</v>
      </c>
    </row>
    <row r="103" spans="1:7" x14ac:dyDescent="0.25">
      <c r="A103" s="5" t="s">
        <v>353</v>
      </c>
      <c r="B103" s="6" t="s">
        <v>137</v>
      </c>
      <c r="C103" s="5">
        <v>2015</v>
      </c>
      <c r="D103" s="7">
        <v>236.25979613999999</v>
      </c>
      <c r="E103" s="11">
        <v>72.349000000000004</v>
      </c>
      <c r="F103" s="10">
        <f>Table1[[#This Row],[Life expectancy at birth, total (years) '[SP.DYN.LE00.IN']]]/Table1[[#This Row],[Current health expenditure per capita (current US$) '[SH.XPD.CHEX.PC.CD']]]</f>
        <v>0.30622645571542056</v>
      </c>
      <c r="G103" s="4">
        <f>Table1[[#This Row],[Life expectancy at birth, total (years) '[SP.DYN.LE00.IN']]]/Table1[[#This Row],[Current health expenditure per capita (current US$) '[SH.XPD.CHEX.PC.CD']]]*1000</f>
        <v>306.22645571542057</v>
      </c>
    </row>
    <row r="104" spans="1:7" x14ac:dyDescent="0.25">
      <c r="A104" s="5" t="s">
        <v>353</v>
      </c>
      <c r="B104" s="6" t="s">
        <v>137</v>
      </c>
      <c r="C104" s="5">
        <v>2016</v>
      </c>
      <c r="D104" s="7">
        <v>169.69596863000001</v>
      </c>
      <c r="E104" s="11">
        <v>72.567999999999998</v>
      </c>
      <c r="F104" s="10">
        <f>Table1[[#This Row],[Life expectancy at birth, total (years) '[SP.DYN.LE00.IN']]]/Table1[[#This Row],[Current health expenditure per capita (current US$) '[SH.XPD.CHEX.PC.CD']]]</f>
        <v>0.42763537982581712</v>
      </c>
      <c r="G104" s="4">
        <f>Table1[[#This Row],[Life expectancy at birth, total (years) '[SP.DYN.LE00.IN']]]/Table1[[#This Row],[Current health expenditure per capita (current US$) '[SH.XPD.CHEX.PC.CD']]]*1000</f>
        <v>427.6353798258171</v>
      </c>
    </row>
    <row r="105" spans="1:7" x14ac:dyDescent="0.25">
      <c r="A105" s="5" t="s">
        <v>353</v>
      </c>
      <c r="B105" s="6" t="s">
        <v>137</v>
      </c>
      <c r="C105" s="5">
        <v>2017</v>
      </c>
      <c r="D105" s="7">
        <v>167.01565552</v>
      </c>
      <c r="E105" s="11">
        <v>72.694000000000003</v>
      </c>
      <c r="F105" s="10">
        <f>Table1[[#This Row],[Life expectancy at birth, total (years) '[SP.DYN.LE00.IN']]]/Table1[[#This Row],[Current health expenditure per capita (current US$) '[SH.XPD.CHEX.PC.CD']]]</f>
        <v>0.43525261014405292</v>
      </c>
      <c r="G105" s="4">
        <f>Table1[[#This Row],[Life expectancy at birth, total (years) '[SP.DYN.LE00.IN']]]/Table1[[#This Row],[Current health expenditure per capita (current US$) '[SH.XPD.CHEX.PC.CD']]]*1000</f>
        <v>435.25261014405294</v>
      </c>
    </row>
    <row r="106" spans="1:7" x14ac:dyDescent="0.25">
      <c r="A106" s="5" t="s">
        <v>353</v>
      </c>
      <c r="B106" s="6" t="s">
        <v>137</v>
      </c>
      <c r="C106" s="5">
        <v>2018</v>
      </c>
      <c r="D106" s="7">
        <v>180.03610229</v>
      </c>
      <c r="E106" s="11">
        <v>73.016000000000005</v>
      </c>
      <c r="F106" s="10">
        <f>Table1[[#This Row],[Life expectancy at birth, total (years) '[SP.DYN.LE00.IN']]]/Table1[[#This Row],[Current health expenditure per capita (current US$) '[SH.XPD.CHEX.PC.CD']]]</f>
        <v>0.40556310135167617</v>
      </c>
      <c r="G106" s="4">
        <f>Table1[[#This Row],[Life expectancy at birth, total (years) '[SP.DYN.LE00.IN']]]/Table1[[#This Row],[Current health expenditure per capita (current US$) '[SH.XPD.CHEX.PC.CD']]]*1000</f>
        <v>405.56310135167615</v>
      </c>
    </row>
    <row r="107" spans="1:7" x14ac:dyDescent="0.25">
      <c r="A107" s="5" t="s">
        <v>353</v>
      </c>
      <c r="B107" s="6" t="s">
        <v>137</v>
      </c>
      <c r="C107" s="5">
        <v>2019</v>
      </c>
      <c r="D107" s="7">
        <v>199.25746154999999</v>
      </c>
      <c r="E107" s="11">
        <v>73.290000000000006</v>
      </c>
      <c r="F107" s="10">
        <f>Table1[[#This Row],[Life expectancy at birth, total (years) '[SP.DYN.LE00.IN']]]/Table1[[#This Row],[Current health expenditure per capita (current US$) '[SH.XPD.CHEX.PC.CD']]]</f>
        <v>0.36781558607585307</v>
      </c>
      <c r="G107" s="4">
        <f>Table1[[#This Row],[Life expectancy at birth, total (years) '[SP.DYN.LE00.IN']]]/Table1[[#This Row],[Current health expenditure per capita (current US$) '[SH.XPD.CHEX.PC.CD']]]*1000</f>
        <v>367.81558607585305</v>
      </c>
    </row>
    <row r="108" spans="1:7" x14ac:dyDescent="0.25">
      <c r="A108" s="5" t="s">
        <v>353</v>
      </c>
      <c r="B108" s="6" t="s">
        <v>137</v>
      </c>
      <c r="C108" s="5">
        <v>2020</v>
      </c>
      <c r="D108" s="7">
        <v>245.21949767999999</v>
      </c>
      <c r="E108" s="11">
        <v>70.311999999999998</v>
      </c>
      <c r="F108" s="10">
        <f>Table1[[#This Row],[Life expectancy at birth, total (years) '[SP.DYN.LE00.IN']]]/Table1[[#This Row],[Current health expenditure per capita (current US$) '[SH.XPD.CHEX.PC.CD']]]</f>
        <v>0.28673087036396216</v>
      </c>
      <c r="G108" s="4">
        <f>Table1[[#This Row],[Life expectancy at birth, total (years) '[SP.DYN.LE00.IN']]]/Table1[[#This Row],[Current health expenditure per capita (current US$) '[SH.XPD.CHEX.PC.CD']]]*1000</f>
        <v>286.73087036396214</v>
      </c>
    </row>
    <row r="109" spans="1:7" x14ac:dyDescent="0.25">
      <c r="A109" s="5" t="s">
        <v>353</v>
      </c>
      <c r="B109" s="6" t="s">
        <v>137</v>
      </c>
      <c r="C109" s="5">
        <v>2021</v>
      </c>
      <c r="D109" s="7">
        <v>250.9887085</v>
      </c>
      <c r="E109" s="11">
        <v>70.998999999999995</v>
      </c>
      <c r="F109" s="10">
        <f>Table1[[#This Row],[Life expectancy at birth, total (years) '[SP.DYN.LE00.IN']]]/Table1[[#This Row],[Current health expenditure per capita (current US$) '[SH.XPD.CHEX.PC.CD']]]</f>
        <v>0.28287726736519703</v>
      </c>
      <c r="G109" s="4">
        <f>Table1[[#This Row],[Life expectancy at birth, total (years) '[SP.DYN.LE00.IN']]]/Table1[[#This Row],[Current health expenditure per capita (current US$) '[SH.XPD.CHEX.PC.CD']]]*1000</f>
        <v>282.87726736519704</v>
      </c>
    </row>
    <row r="110" spans="1:7" x14ac:dyDescent="0.25">
      <c r="A110" s="5" t="s">
        <v>353</v>
      </c>
      <c r="B110" s="6" t="s">
        <v>137</v>
      </c>
      <c r="C110" s="5">
        <v>2022</v>
      </c>
      <c r="D110" s="7">
        <v>261.44659424000002</v>
      </c>
      <c r="E110" s="11">
        <v>74.125</v>
      </c>
      <c r="F110" s="10">
        <f>Table1[[#This Row],[Life expectancy at birth, total (years) '[SP.DYN.LE00.IN']]]/Table1[[#This Row],[Current health expenditure per capita (current US$) '[SH.XPD.CHEX.PC.CD']]]</f>
        <v>0.28351870566711418</v>
      </c>
      <c r="G110" s="4">
        <f>Table1[[#This Row],[Life expectancy at birth, total (years) '[SP.DYN.LE00.IN']]]/Table1[[#This Row],[Current health expenditure per capita (current US$) '[SH.XPD.CHEX.PC.CD']]]*1000</f>
        <v>283.5187056671142</v>
      </c>
    </row>
    <row r="111" spans="1:7" x14ac:dyDescent="0.25">
      <c r="A111" s="5" t="s">
        <v>353</v>
      </c>
      <c r="B111" s="6" t="s">
        <v>137</v>
      </c>
      <c r="C111" s="5">
        <v>2023</v>
      </c>
      <c r="D111" s="7">
        <v>299.81060790999999</v>
      </c>
      <c r="E111" s="11">
        <v>74.429000000000002</v>
      </c>
      <c r="F111" s="10">
        <f>Table1[[#This Row],[Life expectancy at birth, total (years) '[SP.DYN.LE00.IN']]]/Table1[[#This Row],[Current health expenditure per capita (current US$) '[SH.XPD.CHEX.PC.CD']]]</f>
        <v>0.24825339076175321</v>
      </c>
      <c r="G111" s="4">
        <f>Table1[[#This Row],[Life expectancy at birth, total (years) '[SP.DYN.LE00.IN']]]/Table1[[#This Row],[Current health expenditure per capita (current US$) '[SH.XPD.CHEX.PC.CD']]]*1000</f>
        <v>248.2533907617532</v>
      </c>
    </row>
    <row r="112" spans="1:7" hidden="1" x14ac:dyDescent="0.25">
      <c r="B112" s="1"/>
      <c r="D112" s="3"/>
      <c r="E112"/>
      <c r="F112" t="e">
        <f>Table1[[#This Row],[Life expectancy at birth, total (years) '[SP.DYN.LE00.IN']]]/Table1[[#This Row],[Current health expenditure per capita (current US$) '[SH.XPD.CHEX.PC.CD']]]</f>
        <v>#DIV/0!</v>
      </c>
      <c r="G112" s="2" t="e">
        <f>Table1[[#This Row],[Life expectancy at birth, total (years) '[SP.DYN.LE00.IN']]]/Table1[[#This Row],[Current health expenditure per capita (current US$) '[SH.XPD.CHEX.PC.CD']]]*1000</f>
        <v>#DIV/0!</v>
      </c>
    </row>
    <row r="113" spans="1:7" x14ac:dyDescent="0.25">
      <c r="A113" s="5" t="s">
        <v>237</v>
      </c>
      <c r="B113" s="6" t="s">
        <v>234</v>
      </c>
      <c r="C113" s="5">
        <v>2015</v>
      </c>
      <c r="D113" s="7">
        <v>1588.57775879</v>
      </c>
      <c r="E113" s="11">
        <v>73.805000000000007</v>
      </c>
      <c r="F113" s="10">
        <f>Table1[[#This Row],[Life expectancy at birth, total (years) '[SP.DYN.LE00.IN']]]/Table1[[#This Row],[Current health expenditure per capita (current US$) '[SH.XPD.CHEX.PC.CD']]]</f>
        <v>4.6459796879075255E-2</v>
      </c>
      <c r="G113" s="4">
        <f>Table1[[#This Row],[Life expectancy at birth, total (years) '[SP.DYN.LE00.IN']]]/Table1[[#This Row],[Current health expenditure per capita (current US$) '[SH.XPD.CHEX.PC.CD']]]*1000</f>
        <v>46.459796879075256</v>
      </c>
    </row>
    <row r="114" spans="1:7" x14ac:dyDescent="0.25">
      <c r="A114" s="5" t="s">
        <v>237</v>
      </c>
      <c r="B114" s="6" t="s">
        <v>234</v>
      </c>
      <c r="C114" s="5">
        <v>2016</v>
      </c>
      <c r="D114" s="7">
        <v>1711.60510254</v>
      </c>
      <c r="E114" s="11">
        <v>74.042000000000002</v>
      </c>
      <c r="F114" s="10">
        <f>Table1[[#This Row],[Life expectancy at birth, total (years) '[SP.DYN.LE00.IN']]]/Table1[[#This Row],[Current health expenditure per capita (current US$) '[SH.XPD.CHEX.PC.CD']]]</f>
        <v>4.3258810043346231E-2</v>
      </c>
      <c r="G114" s="4">
        <f>Table1[[#This Row],[Life expectancy at birth, total (years) '[SP.DYN.LE00.IN']]]/Table1[[#This Row],[Current health expenditure per capita (current US$) '[SH.XPD.CHEX.PC.CD']]]*1000</f>
        <v>43.25881004334623</v>
      </c>
    </row>
    <row r="115" spans="1:7" x14ac:dyDescent="0.25">
      <c r="A115" s="5" t="s">
        <v>237</v>
      </c>
      <c r="B115" s="6" t="s">
        <v>234</v>
      </c>
      <c r="C115" s="5">
        <v>2017</v>
      </c>
      <c r="D115" s="7">
        <v>2069.4455566400002</v>
      </c>
      <c r="E115" s="11">
        <v>74.031000000000006</v>
      </c>
      <c r="F115" s="10">
        <f>Table1[[#This Row],[Life expectancy at birth, total (years) '[SP.DYN.LE00.IN']]]/Table1[[#This Row],[Current health expenditure per capita (current US$) '[SH.XPD.CHEX.PC.CD']]]</f>
        <v>3.5773349901602851E-2</v>
      </c>
      <c r="G115" s="4">
        <f>Table1[[#This Row],[Life expectancy at birth, total (years) '[SP.DYN.LE00.IN']]]/Table1[[#This Row],[Current health expenditure per capita (current US$) '[SH.XPD.CHEX.PC.CD']]]*1000</f>
        <v>35.773349901602849</v>
      </c>
    </row>
    <row r="116" spans="1:7" x14ac:dyDescent="0.25">
      <c r="A116" s="5" t="s">
        <v>237</v>
      </c>
      <c r="B116" s="6" t="s">
        <v>234</v>
      </c>
      <c r="C116" s="5">
        <v>2018</v>
      </c>
      <c r="D116" s="7">
        <v>1875.74035645</v>
      </c>
      <c r="E116" s="11">
        <v>74.061999999999998</v>
      </c>
      <c r="F116" s="10">
        <f>Table1[[#This Row],[Life expectancy at birth, total (years) '[SP.DYN.LE00.IN']]]/Table1[[#This Row],[Current health expenditure per capita (current US$) '[SH.XPD.CHEX.PC.CD']]]</f>
        <v>3.9484142752128394E-2</v>
      </c>
      <c r="G116" s="4">
        <f>Table1[[#This Row],[Life expectancy at birth, total (years) '[SP.DYN.LE00.IN']]]/Table1[[#This Row],[Current health expenditure per capita (current US$) '[SH.XPD.CHEX.PC.CD']]]*1000</f>
        <v>39.484142752128392</v>
      </c>
    </row>
    <row r="117" spans="1:7" x14ac:dyDescent="0.25">
      <c r="A117" s="5" t="s">
        <v>237</v>
      </c>
      <c r="B117" s="6" t="s">
        <v>234</v>
      </c>
      <c r="C117" s="5">
        <v>2019</v>
      </c>
      <c r="D117" s="7">
        <v>1881.40393066</v>
      </c>
      <c r="E117" s="11">
        <v>71.408000000000001</v>
      </c>
      <c r="F117" s="10">
        <f>Table1[[#This Row],[Life expectancy at birth, total (years) '[SP.DYN.LE00.IN']]]/Table1[[#This Row],[Current health expenditure per capita (current US$) '[SH.XPD.CHEX.PC.CD']]]</f>
        <v>3.795463527864E-2</v>
      </c>
      <c r="G117" s="4">
        <f>Table1[[#This Row],[Life expectancy at birth, total (years) '[SP.DYN.LE00.IN']]]/Table1[[#This Row],[Current health expenditure per capita (current US$) '[SH.XPD.CHEX.PC.CD']]]*1000</f>
        <v>37.954635278639998</v>
      </c>
    </row>
    <row r="118" spans="1:7" x14ac:dyDescent="0.25">
      <c r="A118" s="5" t="s">
        <v>237</v>
      </c>
      <c r="B118" s="6" t="s">
        <v>234</v>
      </c>
      <c r="C118" s="5">
        <v>2020</v>
      </c>
      <c r="D118" s="7">
        <v>1861.0637207</v>
      </c>
      <c r="E118" s="11">
        <v>72.994</v>
      </c>
      <c r="F118" s="10">
        <f>Table1[[#This Row],[Life expectancy at birth, total (years) '[SP.DYN.LE00.IN']]]/Table1[[#This Row],[Current health expenditure per capita (current US$) '[SH.XPD.CHEX.PC.CD']]]</f>
        <v>3.9221655437216757E-2</v>
      </c>
      <c r="G118" s="4">
        <f>Table1[[#This Row],[Life expectancy at birth, total (years) '[SP.DYN.LE00.IN']]]/Table1[[#This Row],[Current health expenditure per capita (current US$) '[SH.XPD.CHEX.PC.CD']]]*1000</f>
        <v>39.221655437216754</v>
      </c>
    </row>
    <row r="119" spans="1:7" x14ac:dyDescent="0.25">
      <c r="A119" s="5" t="s">
        <v>237</v>
      </c>
      <c r="B119" s="6" t="s">
        <v>234</v>
      </c>
      <c r="C119" s="5">
        <v>2021</v>
      </c>
      <c r="D119" s="7">
        <v>1946.2196044899999</v>
      </c>
      <c r="E119" s="11">
        <v>70.751999999999995</v>
      </c>
      <c r="F119" s="10">
        <f>Table1[[#This Row],[Life expectancy at birth, total (years) '[SP.DYN.LE00.IN']]]/Table1[[#This Row],[Current health expenditure per capita (current US$) '[SH.XPD.CHEX.PC.CD']]]</f>
        <v>3.6353554263235527E-2</v>
      </c>
      <c r="G119" s="4">
        <f>Table1[[#This Row],[Life expectancy at birth, total (years) '[SP.DYN.LE00.IN']]]/Table1[[#This Row],[Current health expenditure per capita (current US$) '[SH.XPD.CHEX.PC.CD']]]*1000</f>
        <v>36.35355426323553</v>
      </c>
    </row>
    <row r="120" spans="1:7" x14ac:dyDescent="0.25">
      <c r="A120" s="5" t="s">
        <v>237</v>
      </c>
      <c r="B120" s="6" t="s">
        <v>234</v>
      </c>
      <c r="C120" s="5">
        <v>2022</v>
      </c>
      <c r="D120" s="7">
        <v>2327.2011718799999</v>
      </c>
      <c r="E120" s="11">
        <v>74.491</v>
      </c>
      <c r="F120" s="10">
        <f>Table1[[#This Row],[Life expectancy at birth, total (years) '[SP.DYN.LE00.IN']]]/Table1[[#This Row],[Current health expenditure per capita (current US$) '[SH.XPD.CHEX.PC.CD']]]</f>
        <v>3.2008835720817121E-2</v>
      </c>
      <c r="G120" s="4">
        <f>Table1[[#This Row],[Life expectancy at birth, total (years) '[SP.DYN.LE00.IN']]]/Table1[[#This Row],[Current health expenditure per capita (current US$) '[SH.XPD.CHEX.PC.CD']]]*1000</f>
        <v>32.008835720817117</v>
      </c>
    </row>
    <row r="121" spans="1:7" x14ac:dyDescent="0.25">
      <c r="A121" s="5" t="s">
        <v>237</v>
      </c>
      <c r="B121" s="6" t="s">
        <v>234</v>
      </c>
      <c r="C121" s="5">
        <v>2023</v>
      </c>
      <c r="D121" s="7">
        <v>2262.3344726599998</v>
      </c>
      <c r="E121" s="11">
        <v>74.552000000000007</v>
      </c>
      <c r="F121" s="10">
        <f>Table1[[#This Row],[Life expectancy at birth, total (years) '[SP.DYN.LE00.IN']]]/Table1[[#This Row],[Current health expenditure per capita (current US$) '[SH.XPD.CHEX.PC.CD']]]</f>
        <v>3.2953571145624416E-2</v>
      </c>
      <c r="G121" s="4">
        <f>Table1[[#This Row],[Life expectancy at birth, total (years) '[SP.DYN.LE00.IN']]]/Table1[[#This Row],[Current health expenditure per capita (current US$) '[SH.XPD.CHEX.PC.CD']]]*1000</f>
        <v>32.953571145624416</v>
      </c>
    </row>
    <row r="122" spans="1:7" hidden="1" x14ac:dyDescent="0.25">
      <c r="B122" s="1"/>
      <c r="D122" s="3"/>
      <c r="E122"/>
      <c r="F122" t="e">
        <f>Table1[[#This Row],[Life expectancy at birth, total (years) '[SP.DYN.LE00.IN']]]/Table1[[#This Row],[Current health expenditure per capita (current US$) '[SH.XPD.CHEX.PC.CD']]]</f>
        <v>#DIV/0!</v>
      </c>
      <c r="G122" s="2" t="e">
        <f>Table1[[#This Row],[Life expectancy at birth, total (years) '[SP.DYN.LE00.IN']]]/Table1[[#This Row],[Current health expenditure per capita (current US$) '[SH.XPD.CHEX.PC.CD']]]*1000</f>
        <v>#DIV/0!</v>
      </c>
    </row>
    <row r="123" spans="1:7" x14ac:dyDescent="0.25">
      <c r="A123" s="5" t="s">
        <v>356</v>
      </c>
      <c r="B123" s="6" t="s">
        <v>171</v>
      </c>
      <c r="C123" s="5">
        <v>2015</v>
      </c>
      <c r="D123" s="7">
        <v>1128.2429199200001</v>
      </c>
      <c r="E123" s="11">
        <v>80.337999999999994</v>
      </c>
      <c r="F123" s="10">
        <f>Table1[[#This Row],[Life expectancy at birth, total (years) '[SP.DYN.LE00.IN']]]/Table1[[#This Row],[Current health expenditure per capita (current US$) '[SH.XPD.CHEX.PC.CD']]]</f>
        <v>7.1206296606493649E-2</v>
      </c>
      <c r="G123" s="4">
        <f>Table1[[#This Row],[Life expectancy at birth, total (years) '[SP.DYN.LE00.IN']]]/Table1[[#This Row],[Current health expenditure per capita (current US$) '[SH.XPD.CHEX.PC.CD']]]*1000</f>
        <v>71.206296606493652</v>
      </c>
    </row>
    <row r="124" spans="1:7" x14ac:dyDescent="0.25">
      <c r="A124" s="5" t="s">
        <v>356</v>
      </c>
      <c r="B124" s="6" t="s">
        <v>171</v>
      </c>
      <c r="C124" s="5">
        <v>2016</v>
      </c>
      <c r="D124" s="7">
        <v>1095.92541504</v>
      </c>
      <c r="E124" s="11">
        <v>80.406999999999996</v>
      </c>
      <c r="F124" s="10">
        <f>Table1[[#This Row],[Life expectancy at birth, total (years) '[SP.DYN.LE00.IN']]]/Table1[[#This Row],[Current health expenditure per capita (current US$) '[SH.XPD.CHEX.PC.CD']]]</f>
        <v>7.3369044002930831E-2</v>
      </c>
      <c r="G124" s="4">
        <f>Table1[[#This Row],[Life expectancy at birth, total (years) '[SP.DYN.LE00.IN']]]/Table1[[#This Row],[Current health expenditure per capita (current US$) '[SH.XPD.CHEX.PC.CD']]]*1000</f>
        <v>73.369044002930835</v>
      </c>
    </row>
    <row r="125" spans="1:7" x14ac:dyDescent="0.25">
      <c r="A125" s="5" t="s">
        <v>356</v>
      </c>
      <c r="B125" s="6" t="s">
        <v>171</v>
      </c>
      <c r="C125" s="5">
        <v>2017</v>
      </c>
      <c r="D125" s="7">
        <v>1080.0889892600001</v>
      </c>
      <c r="E125" s="11">
        <v>80.406999999999996</v>
      </c>
      <c r="F125" s="10">
        <f>Table1[[#This Row],[Life expectancy at birth, total (years) '[SP.DYN.LE00.IN']]]/Table1[[#This Row],[Current health expenditure per capita (current US$) '[SH.XPD.CHEX.PC.CD']]]</f>
        <v>7.4444791863945523E-2</v>
      </c>
      <c r="G125" s="4">
        <f>Table1[[#This Row],[Life expectancy at birth, total (years) '[SP.DYN.LE00.IN']]]/Table1[[#This Row],[Current health expenditure per capita (current US$) '[SH.XPD.CHEX.PC.CD']]]*1000</f>
        <v>74.444791863945525</v>
      </c>
    </row>
    <row r="126" spans="1:7" x14ac:dyDescent="0.25">
      <c r="A126" s="5" t="s">
        <v>356</v>
      </c>
      <c r="B126" s="6" t="s">
        <v>171</v>
      </c>
      <c r="C126" s="5">
        <v>2018</v>
      </c>
      <c r="D126" s="7">
        <v>1041.8560791</v>
      </c>
      <c r="E126" s="11">
        <v>80.412000000000006</v>
      </c>
      <c r="F126" s="10">
        <f>Table1[[#This Row],[Life expectancy at birth, total (years) '[SP.DYN.LE00.IN']]]/Table1[[#This Row],[Current health expenditure per capita (current US$) '[SH.XPD.CHEX.PC.CD']]]</f>
        <v>7.7181485632318178E-2</v>
      </c>
      <c r="G126" s="4">
        <f>Table1[[#This Row],[Life expectancy at birth, total (years) '[SP.DYN.LE00.IN']]]/Table1[[#This Row],[Current health expenditure per capita (current US$) '[SH.XPD.CHEX.PC.CD']]]*1000</f>
        <v>77.181485632318171</v>
      </c>
    </row>
    <row r="127" spans="1:7" x14ac:dyDescent="0.25">
      <c r="A127" s="5" t="s">
        <v>356</v>
      </c>
      <c r="B127" s="6" t="s">
        <v>171</v>
      </c>
      <c r="C127" s="5">
        <v>2019</v>
      </c>
      <c r="D127" s="7">
        <v>1030.26379395</v>
      </c>
      <c r="E127" s="11">
        <v>80.471000000000004</v>
      </c>
      <c r="F127" s="10">
        <f>Table1[[#This Row],[Life expectancy at birth, total (years) '[SP.DYN.LE00.IN']]]/Table1[[#This Row],[Current health expenditure per capita (current US$) '[SH.XPD.CHEX.PC.CD']]]</f>
        <v>7.8107180386759623E-2</v>
      </c>
      <c r="G127" s="4">
        <f>Table1[[#This Row],[Life expectancy at birth, total (years) '[SP.DYN.LE00.IN']]]/Table1[[#This Row],[Current health expenditure per capita (current US$) '[SH.XPD.CHEX.PC.CD']]]*1000</f>
        <v>78.107180386759623</v>
      </c>
    </row>
    <row r="128" spans="1:7" x14ac:dyDescent="0.25">
      <c r="A128" s="5" t="s">
        <v>356</v>
      </c>
      <c r="B128" s="6" t="s">
        <v>171</v>
      </c>
      <c r="C128" s="5">
        <v>2020</v>
      </c>
      <c r="D128" s="7">
        <v>1101.14025879</v>
      </c>
      <c r="E128" s="11">
        <v>78.683000000000007</v>
      </c>
      <c r="F128" s="10">
        <f>Table1[[#This Row],[Life expectancy at birth, total (years) '[SP.DYN.LE00.IN']]]/Table1[[#This Row],[Current health expenditure per capita (current US$) '[SH.XPD.CHEX.PC.CD']]]</f>
        <v>7.1455928862742407E-2</v>
      </c>
      <c r="G128" s="4">
        <f>Table1[[#This Row],[Life expectancy at birth, total (years) '[SP.DYN.LE00.IN']]]/Table1[[#This Row],[Current health expenditure per capita (current US$) '[SH.XPD.CHEX.PC.CD']]]*1000</f>
        <v>71.455928862742411</v>
      </c>
    </row>
    <row r="129" spans="1:7" x14ac:dyDescent="0.25">
      <c r="A129" s="5" t="s">
        <v>356</v>
      </c>
      <c r="B129" s="6" t="s">
        <v>171</v>
      </c>
      <c r="C129" s="5">
        <v>2021</v>
      </c>
      <c r="D129" s="7">
        <v>1176.9210205100001</v>
      </c>
      <c r="E129" s="11">
        <v>78.082999999999998</v>
      </c>
      <c r="F129" s="10">
        <f>Table1[[#This Row],[Life expectancy at birth, total (years) '[SP.DYN.LE00.IN']]]/Table1[[#This Row],[Current health expenditure per capita (current US$) '[SH.XPD.CHEX.PC.CD']]]</f>
        <v>6.6345148603229098E-2</v>
      </c>
      <c r="G129" s="4">
        <f>Table1[[#This Row],[Life expectancy at birth, total (years) '[SP.DYN.LE00.IN']]]/Table1[[#This Row],[Current health expenditure per capita (current US$) '[SH.XPD.CHEX.PC.CD']]]*1000</f>
        <v>66.345148603229092</v>
      </c>
    </row>
    <row r="130" spans="1:7" x14ac:dyDescent="0.25">
      <c r="A130" s="5" t="s">
        <v>356</v>
      </c>
      <c r="B130" s="6" t="s">
        <v>171</v>
      </c>
      <c r="C130" s="5">
        <v>2022</v>
      </c>
      <c r="D130" s="7">
        <v>1178.8066406299999</v>
      </c>
      <c r="E130" s="11">
        <v>80.992000000000004</v>
      </c>
      <c r="F130" s="10">
        <f>Table1[[#This Row],[Life expectancy at birth, total (years) '[SP.DYN.LE00.IN']]]/Table1[[#This Row],[Current health expenditure per capita (current US$) '[SH.XPD.CHEX.PC.CD']]]</f>
        <v>6.8706772772093264E-2</v>
      </c>
      <c r="G130" s="4">
        <f>Table1[[#This Row],[Life expectancy at birth, total (years) '[SP.DYN.LE00.IN']]]/Table1[[#This Row],[Current health expenditure per capita (current US$) '[SH.XPD.CHEX.PC.CD']]]*1000</f>
        <v>68.70677277209326</v>
      </c>
    </row>
    <row r="131" spans="1:7" x14ac:dyDescent="0.25">
      <c r="A131" s="5" t="s">
        <v>356</v>
      </c>
      <c r="B131" s="6" t="s">
        <v>171</v>
      </c>
      <c r="C131" s="5">
        <v>2023</v>
      </c>
      <c r="D131" s="7">
        <v>1175.8162841799999</v>
      </c>
      <c r="E131" s="11">
        <v>81.284000000000006</v>
      </c>
      <c r="F131" s="10">
        <f>Table1[[#This Row],[Life expectancy at birth, total (years) '[SP.DYN.LE00.IN']]]/Table1[[#This Row],[Current health expenditure per capita (current US$) '[SH.XPD.CHEX.PC.CD']]]</f>
        <v>6.9129847148431428E-2</v>
      </c>
      <c r="G131" s="4">
        <f>Table1[[#This Row],[Life expectancy at birth, total (years) '[SP.DYN.LE00.IN']]]/Table1[[#This Row],[Current health expenditure per capita (current US$) '[SH.XPD.CHEX.PC.CD']]]*1000</f>
        <v>69.129847148431423</v>
      </c>
    </row>
    <row r="132" spans="1:7" hidden="1" x14ac:dyDescent="0.25">
      <c r="B132" s="1"/>
      <c r="D132" s="3"/>
      <c r="E132"/>
      <c r="F132" t="e">
        <f>Table1[[#This Row],[Life expectancy at birth, total (years) '[SP.DYN.LE00.IN']]]/Table1[[#This Row],[Current health expenditure per capita (current US$) '[SH.XPD.CHEX.PC.CD']]]</f>
        <v>#DIV/0!</v>
      </c>
      <c r="G132" s="2" t="e">
        <f>Table1[[#This Row],[Life expectancy at birth, total (years) '[SP.DYN.LE00.IN']]]/Table1[[#This Row],[Current health expenditure per capita (current US$) '[SH.XPD.CHEX.PC.CD']]]*1000</f>
        <v>#DIV/0!</v>
      </c>
    </row>
    <row r="133" spans="1:7" x14ac:dyDescent="0.25">
      <c r="A133" s="5" t="s">
        <v>311</v>
      </c>
      <c r="B133" s="6" t="s">
        <v>189</v>
      </c>
      <c r="C133" s="5">
        <v>2015</v>
      </c>
      <c r="D133" s="7">
        <v>33.209987640000001</v>
      </c>
      <c r="E133" s="11">
        <v>70.543000000000006</v>
      </c>
      <c r="F133" s="10">
        <f>Table1[[#This Row],[Life expectancy at birth, total (years) '[SP.DYN.LE00.IN']]]/Table1[[#This Row],[Current health expenditure per capita (current US$) '[SH.XPD.CHEX.PC.CD']]]</f>
        <v>2.1241501431645822</v>
      </c>
      <c r="G133" s="4">
        <f>Table1[[#This Row],[Life expectancy at birth, total (years) '[SP.DYN.LE00.IN']]]/Table1[[#This Row],[Current health expenditure per capita (current US$) '[SH.XPD.CHEX.PC.CD']]]*1000</f>
        <v>2124.150143164582</v>
      </c>
    </row>
    <row r="134" spans="1:7" x14ac:dyDescent="0.25">
      <c r="A134" s="5" t="s">
        <v>311</v>
      </c>
      <c r="B134" s="6" t="s">
        <v>189</v>
      </c>
      <c r="C134" s="5">
        <v>2016</v>
      </c>
      <c r="D134" s="7">
        <v>39.306476590000003</v>
      </c>
      <c r="E134" s="11">
        <v>71.075000000000003</v>
      </c>
      <c r="F134" s="10">
        <f>Table1[[#This Row],[Life expectancy at birth, total (years) '[SP.DYN.LE00.IN']]]/Table1[[#This Row],[Current health expenditure per capita (current US$) '[SH.XPD.CHEX.PC.CD']]]</f>
        <v>1.808226179654125</v>
      </c>
      <c r="G134" s="4">
        <f>Table1[[#This Row],[Life expectancy at birth, total (years) '[SP.DYN.LE00.IN']]]/Table1[[#This Row],[Current health expenditure per capita (current US$) '[SH.XPD.CHEX.PC.CD']]]*1000</f>
        <v>1808.226179654125</v>
      </c>
    </row>
    <row r="135" spans="1:7" x14ac:dyDescent="0.25">
      <c r="A135" s="5" t="s">
        <v>311</v>
      </c>
      <c r="B135" s="6" t="s">
        <v>189</v>
      </c>
      <c r="C135" s="5">
        <v>2017</v>
      </c>
      <c r="D135" s="7">
        <v>42.175109859999999</v>
      </c>
      <c r="E135" s="11">
        <v>71.605999999999995</v>
      </c>
      <c r="F135" s="10">
        <f>Table1[[#This Row],[Life expectancy at birth, total (years) '[SP.DYN.LE00.IN']]]/Table1[[#This Row],[Current health expenditure per capita (current US$) '[SH.XPD.CHEX.PC.CD']]]</f>
        <v>1.6978260456865588</v>
      </c>
      <c r="G135" s="4">
        <f>Table1[[#This Row],[Life expectancy at birth, total (years) '[SP.DYN.LE00.IN']]]/Table1[[#This Row],[Current health expenditure per capita (current US$) '[SH.XPD.CHEX.PC.CD']]]*1000</f>
        <v>1697.8260456865589</v>
      </c>
    </row>
    <row r="136" spans="1:7" x14ac:dyDescent="0.25">
      <c r="A136" s="5" t="s">
        <v>311</v>
      </c>
      <c r="B136" s="6" t="s">
        <v>189</v>
      </c>
      <c r="C136" s="5">
        <v>2018</v>
      </c>
      <c r="D136" s="7">
        <v>44.788928990000002</v>
      </c>
      <c r="E136" s="11">
        <v>72.122</v>
      </c>
      <c r="F136" s="10">
        <f>Table1[[#This Row],[Life expectancy at birth, total (years) '[SP.DYN.LE00.IN']]]/Table1[[#This Row],[Current health expenditure per capita (current US$) '[SH.XPD.CHEX.PC.CD']]]</f>
        <v>1.6102640010905962</v>
      </c>
      <c r="G136" s="4">
        <f>Table1[[#This Row],[Life expectancy at birth, total (years) '[SP.DYN.LE00.IN']]]/Table1[[#This Row],[Current health expenditure per capita (current US$) '[SH.XPD.CHEX.PC.CD']]]*1000</f>
        <v>1610.2640010905961</v>
      </c>
    </row>
    <row r="137" spans="1:7" x14ac:dyDescent="0.25">
      <c r="A137" s="5" t="s">
        <v>311</v>
      </c>
      <c r="B137" s="6" t="s">
        <v>189</v>
      </c>
      <c r="C137" s="5">
        <v>2019</v>
      </c>
      <c r="D137" s="7">
        <v>45.076770779999997</v>
      </c>
      <c r="E137" s="11">
        <v>72.625</v>
      </c>
      <c r="F137" s="10">
        <f>Table1[[#This Row],[Life expectancy at birth, total (years) '[SP.DYN.LE00.IN']]]/Table1[[#This Row],[Current health expenditure per capita (current US$) '[SH.XPD.CHEX.PC.CD']]]</f>
        <v>1.6111402556862571</v>
      </c>
      <c r="G137" s="4">
        <f>Table1[[#This Row],[Life expectancy at birth, total (years) '[SP.DYN.LE00.IN']]]/Table1[[#This Row],[Current health expenditure per capita (current US$) '[SH.XPD.CHEX.PC.CD']]]*1000</f>
        <v>1611.140255686257</v>
      </c>
    </row>
    <row r="138" spans="1:7" x14ac:dyDescent="0.25">
      <c r="A138" s="5" t="s">
        <v>311</v>
      </c>
      <c r="B138" s="6" t="s">
        <v>189</v>
      </c>
      <c r="C138" s="5">
        <v>2020</v>
      </c>
      <c r="D138" s="7">
        <v>49.0274353</v>
      </c>
      <c r="E138" s="11">
        <v>71.421000000000006</v>
      </c>
      <c r="F138" s="10">
        <f>Table1[[#This Row],[Life expectancy at birth, total (years) '[SP.DYN.LE00.IN']]]/Table1[[#This Row],[Current health expenditure per capita (current US$) '[SH.XPD.CHEX.PC.CD']]]</f>
        <v>1.4567557850614308</v>
      </c>
      <c r="G138" s="4">
        <f>Table1[[#This Row],[Life expectancy at birth, total (years) '[SP.DYN.LE00.IN']]]/Table1[[#This Row],[Current health expenditure per capita (current US$) '[SH.XPD.CHEX.PC.CD']]]*1000</f>
        <v>1456.7557850614307</v>
      </c>
    </row>
    <row r="139" spans="1:7" x14ac:dyDescent="0.25">
      <c r="A139" s="5" t="s">
        <v>311</v>
      </c>
      <c r="B139" s="6" t="s">
        <v>189</v>
      </c>
      <c r="C139" s="5">
        <v>2021</v>
      </c>
      <c r="D139" s="7">
        <v>56.096401210000003</v>
      </c>
      <c r="E139" s="11">
        <v>71.102999999999994</v>
      </c>
      <c r="F139" s="10">
        <f>Table1[[#This Row],[Life expectancy at birth, total (years) '[SP.DYN.LE00.IN']]]/Table1[[#This Row],[Current health expenditure per capita (current US$) '[SH.XPD.CHEX.PC.CD']]]</f>
        <v>1.2675144655683339</v>
      </c>
      <c r="G139" s="4">
        <f>Table1[[#This Row],[Life expectancy at birth, total (years) '[SP.DYN.LE00.IN']]]/Table1[[#This Row],[Current health expenditure per capita (current US$) '[SH.XPD.CHEX.PC.CD']]]*1000</f>
        <v>1267.5144655683339</v>
      </c>
    </row>
    <row r="140" spans="1:7" x14ac:dyDescent="0.25">
      <c r="A140" s="5" t="s">
        <v>311</v>
      </c>
      <c r="B140" s="6" t="s">
        <v>189</v>
      </c>
      <c r="C140" s="5">
        <v>2022</v>
      </c>
      <c r="D140" s="7">
        <v>56.621421810000001</v>
      </c>
      <c r="E140" s="11">
        <v>74.265000000000001</v>
      </c>
      <c r="F140" s="10">
        <f>Table1[[#This Row],[Life expectancy at birth, total (years) '[SP.DYN.LE00.IN']]]/Table1[[#This Row],[Current health expenditure per capita (current US$) '[SH.XPD.CHEX.PC.CD']]]</f>
        <v>1.3116060604978297</v>
      </c>
      <c r="G140" s="4">
        <f>Table1[[#This Row],[Life expectancy at birth, total (years) '[SP.DYN.LE00.IN']]]/Table1[[#This Row],[Current health expenditure per capita (current US$) '[SH.XPD.CHEX.PC.CD']]]*1000</f>
        <v>1311.6060604978297</v>
      </c>
    </row>
    <row r="141" spans="1:7" x14ac:dyDescent="0.25">
      <c r="A141" s="5" t="s">
        <v>311</v>
      </c>
      <c r="B141" s="6" t="s">
        <v>189</v>
      </c>
      <c r="C141" s="5">
        <v>2023</v>
      </c>
      <c r="D141" s="7">
        <v>53.464324949999998</v>
      </c>
      <c r="E141" s="11">
        <v>74.671999999999997</v>
      </c>
      <c r="F141" s="10">
        <f>Table1[[#This Row],[Life expectancy at birth, total (years) '[SP.DYN.LE00.IN']]]/Table1[[#This Row],[Current health expenditure per capita (current US$) '[SH.XPD.CHEX.PC.CD']]]</f>
        <v>1.3966696497119058</v>
      </c>
      <c r="G141" s="4">
        <f>Table1[[#This Row],[Life expectancy at birth, total (years) '[SP.DYN.LE00.IN']]]/Table1[[#This Row],[Current health expenditure per capita (current US$) '[SH.XPD.CHEX.PC.CD']]]*1000</f>
        <v>1396.6696497119058</v>
      </c>
    </row>
    <row r="142" spans="1:7" hidden="1" x14ac:dyDescent="0.25">
      <c r="B142" s="1"/>
      <c r="D142" s="3"/>
      <c r="E142"/>
      <c r="F142" t="e">
        <f>Table1[[#This Row],[Life expectancy at birth, total (years) '[SP.DYN.LE00.IN']]]/Table1[[#This Row],[Current health expenditure per capita (current US$) '[SH.XPD.CHEX.PC.CD']]]</f>
        <v>#DIV/0!</v>
      </c>
      <c r="G142" s="2" t="e">
        <f>Table1[[#This Row],[Life expectancy at birth, total (years) '[SP.DYN.LE00.IN']]]/Table1[[#This Row],[Current health expenditure per capita (current US$) '[SH.XPD.CHEX.PC.CD']]]*1000</f>
        <v>#DIV/0!</v>
      </c>
    </row>
    <row r="143" spans="1:7" x14ac:dyDescent="0.25">
      <c r="A143" s="5" t="s">
        <v>158</v>
      </c>
      <c r="B143" s="6" t="s">
        <v>39</v>
      </c>
      <c r="C143" s="5">
        <v>2015</v>
      </c>
      <c r="D143" s="7">
        <v>1154.6271972699999</v>
      </c>
      <c r="E143" s="11">
        <v>76.055000000000007</v>
      </c>
      <c r="F143" s="10">
        <f>Table1[[#This Row],[Life expectancy at birth, total (years) '[SP.DYN.LE00.IN']]]/Table1[[#This Row],[Current health expenditure per capita (current US$) '[SH.XPD.CHEX.PC.CD']]]</f>
        <v>6.5869745819104569E-2</v>
      </c>
      <c r="G143" s="4">
        <f>Table1[[#This Row],[Life expectancy at birth, total (years) '[SP.DYN.LE00.IN']]]/Table1[[#This Row],[Current health expenditure per capita (current US$) '[SH.XPD.CHEX.PC.CD']]]*1000</f>
        <v>65.869745819104565</v>
      </c>
    </row>
    <row r="144" spans="1:7" x14ac:dyDescent="0.25">
      <c r="A144" s="5" t="s">
        <v>158</v>
      </c>
      <c r="B144" s="6" t="s">
        <v>39</v>
      </c>
      <c r="C144" s="5">
        <v>2016</v>
      </c>
      <c r="D144" s="7">
        <v>1181.1425781299999</v>
      </c>
      <c r="E144" s="11">
        <v>76.168000000000006</v>
      </c>
      <c r="F144" s="10">
        <f>Table1[[#This Row],[Life expectancy at birth, total (years) '[SP.DYN.LE00.IN']]]/Table1[[#This Row],[Current health expenditure per capita (current US$) '[SH.XPD.CHEX.PC.CD']]]</f>
        <v>6.4486710927473434E-2</v>
      </c>
      <c r="G144" s="4">
        <f>Table1[[#This Row],[Life expectancy at birth, total (years) '[SP.DYN.LE00.IN']]]/Table1[[#This Row],[Current health expenditure per capita (current US$) '[SH.XPD.CHEX.PC.CD']]]*1000</f>
        <v>64.486710927473439</v>
      </c>
    </row>
    <row r="145" spans="1:7" x14ac:dyDescent="0.25">
      <c r="A145" s="5" t="s">
        <v>158</v>
      </c>
      <c r="B145" s="6" t="s">
        <v>39</v>
      </c>
      <c r="C145" s="5">
        <v>2017</v>
      </c>
      <c r="D145" s="7">
        <v>1182.0036621100001</v>
      </c>
      <c r="E145" s="11">
        <v>76.236999999999995</v>
      </c>
      <c r="F145" s="10">
        <f>Table1[[#This Row],[Life expectancy at birth, total (years) '[SP.DYN.LE00.IN']]]/Table1[[#This Row],[Current health expenditure per capita (current US$) '[SH.XPD.CHEX.PC.CD']]]</f>
        <v>6.4498108122532358E-2</v>
      </c>
      <c r="G145" s="4">
        <f>Table1[[#This Row],[Life expectancy at birth, total (years) '[SP.DYN.LE00.IN']]]/Table1[[#This Row],[Current health expenditure per capita (current US$) '[SH.XPD.CHEX.PC.CD']]]*1000</f>
        <v>64.498108122532358</v>
      </c>
    </row>
    <row r="146" spans="1:7" x14ac:dyDescent="0.25">
      <c r="A146" s="5" t="s">
        <v>158</v>
      </c>
      <c r="B146" s="6" t="s">
        <v>39</v>
      </c>
      <c r="C146" s="5">
        <v>2018</v>
      </c>
      <c r="D146" s="7">
        <v>1169.3555908200001</v>
      </c>
      <c r="E146" s="11">
        <v>76.378</v>
      </c>
      <c r="F146" s="10">
        <f>Table1[[#This Row],[Life expectancy at birth, total (years) '[SP.DYN.LE00.IN']]]/Table1[[#This Row],[Current health expenditure per capita (current US$) '[SH.XPD.CHEX.PC.CD']]]</f>
        <v>6.5316316610279868E-2</v>
      </c>
      <c r="G146" s="4">
        <f>Table1[[#This Row],[Life expectancy at birth, total (years) '[SP.DYN.LE00.IN']]]/Table1[[#This Row],[Current health expenditure per capita (current US$) '[SH.XPD.CHEX.PC.CD']]]*1000</f>
        <v>65.31631661027987</v>
      </c>
    </row>
    <row r="147" spans="1:7" x14ac:dyDescent="0.25">
      <c r="A147" s="5" t="s">
        <v>158</v>
      </c>
      <c r="B147" s="6" t="s">
        <v>39</v>
      </c>
      <c r="C147" s="5">
        <v>2019</v>
      </c>
      <c r="D147" s="7">
        <v>1168.1193847699999</v>
      </c>
      <c r="E147" s="11">
        <v>76.495000000000005</v>
      </c>
      <c r="F147" s="10">
        <f>Table1[[#This Row],[Life expectancy at birth, total (years) '[SP.DYN.LE00.IN']]]/Table1[[#This Row],[Current health expenditure per capita (current US$) '[SH.XPD.CHEX.PC.CD']]]</f>
        <v>6.5485601041593622E-2</v>
      </c>
      <c r="G147" s="4">
        <f>Table1[[#This Row],[Life expectancy at birth, total (years) '[SP.DYN.LE00.IN']]]/Table1[[#This Row],[Current health expenditure per capita (current US$) '[SH.XPD.CHEX.PC.CD']]]*1000</f>
        <v>65.485601041593625</v>
      </c>
    </row>
    <row r="148" spans="1:7" x14ac:dyDescent="0.25">
      <c r="A148" s="5" t="s">
        <v>158</v>
      </c>
      <c r="B148" s="6" t="s">
        <v>39</v>
      </c>
      <c r="C148" s="5">
        <v>2020</v>
      </c>
      <c r="D148" s="7">
        <v>1234.30041504</v>
      </c>
      <c r="E148" s="11">
        <v>76.647000000000006</v>
      </c>
      <c r="F148" s="10">
        <f>Table1[[#This Row],[Life expectancy at birth, total (years) '[SP.DYN.LE00.IN']]]/Table1[[#This Row],[Current health expenditure per capita (current US$) '[SH.XPD.CHEX.PC.CD']]]</f>
        <v>6.2097524286675469E-2</v>
      </c>
      <c r="G148" s="4">
        <f>Table1[[#This Row],[Life expectancy at birth, total (years) '[SP.DYN.LE00.IN']]]/Table1[[#This Row],[Current health expenditure per capita (current US$) '[SH.XPD.CHEX.PC.CD']]]*1000</f>
        <v>62.097524286675473</v>
      </c>
    </row>
    <row r="149" spans="1:7" x14ac:dyDescent="0.25">
      <c r="A149" s="5" t="s">
        <v>158</v>
      </c>
      <c r="B149" s="6" t="s">
        <v>39</v>
      </c>
      <c r="C149" s="5">
        <v>2021</v>
      </c>
      <c r="D149" s="7">
        <v>1391.4985351600001</v>
      </c>
      <c r="E149" s="11">
        <v>76.58</v>
      </c>
      <c r="F149" s="10">
        <f>Table1[[#This Row],[Life expectancy at birth, total (years) '[SP.DYN.LE00.IN']]]/Table1[[#This Row],[Current health expenditure per capita (current US$) '[SH.XPD.CHEX.PC.CD']]]</f>
        <v>5.5034193759459851E-2</v>
      </c>
      <c r="G149" s="4">
        <f>Table1[[#This Row],[Life expectancy at birth, total (years) '[SP.DYN.LE00.IN']]]/Table1[[#This Row],[Current health expenditure per capita (current US$) '[SH.XPD.CHEX.PC.CD']]]*1000</f>
        <v>55.034193759459853</v>
      </c>
    </row>
    <row r="150" spans="1:7" x14ac:dyDescent="0.25">
      <c r="A150" s="5" t="s">
        <v>158</v>
      </c>
      <c r="B150" s="6" t="s">
        <v>39</v>
      </c>
      <c r="C150" s="5">
        <v>2022</v>
      </c>
      <c r="D150" s="7">
        <v>1302.0592041</v>
      </c>
      <c r="E150" s="11">
        <v>75.676000000000002</v>
      </c>
      <c r="F150" s="10">
        <f>Table1[[#This Row],[Life expectancy at birth, total (years) '[SP.DYN.LE00.IN']]]/Table1[[#This Row],[Current health expenditure per capita (current US$) '[SH.XPD.CHEX.PC.CD']]]</f>
        <v>5.8120245040860663E-2</v>
      </c>
      <c r="G150" s="4">
        <f>Table1[[#This Row],[Life expectancy at birth, total (years) '[SP.DYN.LE00.IN']]]/Table1[[#This Row],[Current health expenditure per capita (current US$) '[SH.XPD.CHEX.PC.CD']]]*1000</f>
        <v>58.120245040860667</v>
      </c>
    </row>
    <row r="151" spans="1:7" x14ac:dyDescent="0.25">
      <c r="A151" s="5" t="s">
        <v>158</v>
      </c>
      <c r="B151" s="6" t="s">
        <v>39</v>
      </c>
      <c r="C151" s="5">
        <v>2023</v>
      </c>
      <c r="D151" s="7">
        <v>1286.4768066399999</v>
      </c>
      <c r="E151" s="11">
        <v>76.177999999999997</v>
      </c>
      <c r="F151" s="10">
        <f>Table1[[#This Row],[Life expectancy at birth, total (years) '[SP.DYN.LE00.IN']]]/Table1[[#This Row],[Current health expenditure per capita (current US$) '[SH.XPD.CHEX.PC.CD']]]</f>
        <v>5.9214437140892195E-2</v>
      </c>
      <c r="G151" s="4">
        <f>Table1[[#This Row],[Life expectancy at birth, total (years) '[SP.DYN.LE00.IN']]]/Table1[[#This Row],[Current health expenditure per capita (current US$) '[SH.XPD.CHEX.PC.CD']]]*1000</f>
        <v>59.214437140892194</v>
      </c>
    </row>
    <row r="152" spans="1:7" hidden="1" x14ac:dyDescent="0.25">
      <c r="B152" s="1"/>
      <c r="D152" s="3"/>
      <c r="E152"/>
      <c r="F152" t="e">
        <f>Table1[[#This Row],[Life expectancy at birth, total (years) '[SP.DYN.LE00.IN']]]/Table1[[#This Row],[Current health expenditure per capita (current US$) '[SH.XPD.CHEX.PC.CD']]]</f>
        <v>#DIV/0!</v>
      </c>
      <c r="G152" s="2" t="e">
        <f>Table1[[#This Row],[Life expectancy at birth, total (years) '[SP.DYN.LE00.IN']]]/Table1[[#This Row],[Current health expenditure per capita (current US$) '[SH.XPD.CHEX.PC.CD']]]*1000</f>
        <v>#DIV/0!</v>
      </c>
    </row>
    <row r="153" spans="1:7" x14ac:dyDescent="0.25">
      <c r="A153" s="5" t="s">
        <v>358</v>
      </c>
      <c r="B153" s="6" t="s">
        <v>372</v>
      </c>
      <c r="C153" s="5">
        <v>2015</v>
      </c>
      <c r="D153" s="7">
        <v>360.91937256</v>
      </c>
      <c r="E153" s="11">
        <v>73.624390243902454</v>
      </c>
      <c r="F153" s="10">
        <f>Table1[[#This Row],[Life expectancy at birth, total (years) '[SP.DYN.LE00.IN']]]/Table1[[#This Row],[Current health expenditure per capita (current US$) '[SH.XPD.CHEX.PC.CD']]]</f>
        <v>0.20399123971009059</v>
      </c>
      <c r="G153" s="4">
        <f>Table1[[#This Row],[Life expectancy at birth, total (years) '[SP.DYN.LE00.IN']]]/Table1[[#This Row],[Current health expenditure per capita (current US$) '[SH.XPD.CHEX.PC.CD']]]*1000</f>
        <v>203.99123971009058</v>
      </c>
    </row>
    <row r="154" spans="1:7" x14ac:dyDescent="0.25">
      <c r="A154" s="5" t="s">
        <v>358</v>
      </c>
      <c r="B154" s="6" t="s">
        <v>372</v>
      </c>
      <c r="C154" s="5">
        <v>2016</v>
      </c>
      <c r="D154" s="7">
        <v>296.94720459000001</v>
      </c>
      <c r="E154" s="11">
        <v>73.826829268292698</v>
      </c>
      <c r="F154" s="10">
        <f>Table1[[#This Row],[Life expectancy at birth, total (years) '[SP.DYN.LE00.IN']]]/Table1[[#This Row],[Current health expenditure per capita (current US$) '[SH.XPD.CHEX.PC.CD']]]</f>
        <v>0.2486193778797367</v>
      </c>
      <c r="G154" s="4">
        <f>Table1[[#This Row],[Life expectancy at birth, total (years) '[SP.DYN.LE00.IN']]]/Table1[[#This Row],[Current health expenditure per capita (current US$) '[SH.XPD.CHEX.PC.CD']]]*1000</f>
        <v>248.6193778797367</v>
      </c>
    </row>
    <row r="155" spans="1:7" x14ac:dyDescent="0.25">
      <c r="A155" s="5" t="s">
        <v>358</v>
      </c>
      <c r="B155" s="6" t="s">
        <v>372</v>
      </c>
      <c r="C155" s="5">
        <v>2017</v>
      </c>
      <c r="D155" s="7">
        <v>331.94082642000001</v>
      </c>
      <c r="E155" s="11">
        <v>74.129268292682937</v>
      </c>
      <c r="F155" s="10">
        <f>Table1[[#This Row],[Life expectancy at birth, total (years) '[SP.DYN.LE00.IN']]]/Table1[[#This Row],[Current health expenditure per capita (current US$) '[SH.XPD.CHEX.PC.CD']]]</f>
        <v>0.22332073186709558</v>
      </c>
      <c r="G155" s="4">
        <f>Table1[[#This Row],[Life expectancy at birth, total (years) '[SP.DYN.LE00.IN']]]/Table1[[#This Row],[Current health expenditure per capita (current US$) '[SH.XPD.CHEX.PC.CD']]]*1000</f>
        <v>223.32073186709559</v>
      </c>
    </row>
    <row r="156" spans="1:7" x14ac:dyDescent="0.25">
      <c r="A156" s="5" t="s">
        <v>358</v>
      </c>
      <c r="B156" s="6" t="s">
        <v>372</v>
      </c>
      <c r="C156" s="5">
        <v>2018</v>
      </c>
      <c r="D156" s="7">
        <v>349.99176025000003</v>
      </c>
      <c r="E156" s="11">
        <v>74.175609756097572</v>
      </c>
      <c r="F156" s="10">
        <f>Table1[[#This Row],[Life expectancy at birth, total (years) '[SP.DYN.LE00.IN']]]/Table1[[#This Row],[Current health expenditure per capita (current US$) '[SH.XPD.CHEX.PC.CD']]]</f>
        <v>0.21193530300002988</v>
      </c>
      <c r="G156" s="4">
        <f>Table1[[#This Row],[Life expectancy at birth, total (years) '[SP.DYN.LE00.IN']]]/Table1[[#This Row],[Current health expenditure per capita (current US$) '[SH.XPD.CHEX.PC.CD']]]*1000</f>
        <v>211.93530300002988</v>
      </c>
    </row>
    <row r="157" spans="1:7" x14ac:dyDescent="0.25">
      <c r="A157" s="5" t="s">
        <v>358</v>
      </c>
      <c r="B157" s="6" t="s">
        <v>372</v>
      </c>
      <c r="C157" s="5">
        <v>2019</v>
      </c>
      <c r="D157" s="7">
        <v>400.11621093999997</v>
      </c>
      <c r="E157" s="11">
        <v>74.226829268292704</v>
      </c>
      <c r="F157" s="10">
        <f>Table1[[#This Row],[Life expectancy at birth, total (years) '[SP.DYN.LE00.IN']]]/Table1[[#This Row],[Current health expenditure per capita (current US$) '[SH.XPD.CHEX.PC.CD']]]</f>
        <v>0.18551317651916757</v>
      </c>
      <c r="G157" s="4">
        <f>Table1[[#This Row],[Life expectancy at birth, total (years) '[SP.DYN.LE00.IN']]]/Table1[[#This Row],[Current health expenditure per capita (current US$) '[SH.XPD.CHEX.PC.CD']]]*1000</f>
        <v>185.51317651916756</v>
      </c>
    </row>
    <row r="158" spans="1:7" x14ac:dyDescent="0.25">
      <c r="A158" s="5" t="s">
        <v>358</v>
      </c>
      <c r="B158" s="6" t="s">
        <v>372</v>
      </c>
      <c r="C158" s="5">
        <v>2020</v>
      </c>
      <c r="D158" s="7">
        <v>420.43655396000003</v>
      </c>
      <c r="E158" s="11">
        <v>72.138560975609764</v>
      </c>
      <c r="F158" s="10">
        <f>Table1[[#This Row],[Life expectancy at birth, total (years) '[SP.DYN.LE00.IN']]]/Table1[[#This Row],[Current health expenditure per capita (current US$) '[SH.XPD.CHEX.PC.CD']]]</f>
        <v>0.17158013568552122</v>
      </c>
      <c r="G158" s="4">
        <f>Table1[[#This Row],[Life expectancy at birth, total (years) '[SP.DYN.LE00.IN']]]/Table1[[#This Row],[Current health expenditure per capita (current US$) '[SH.XPD.CHEX.PC.CD']]]*1000</f>
        <v>171.58013568552121</v>
      </c>
    </row>
    <row r="159" spans="1:7" x14ac:dyDescent="0.25">
      <c r="A159" s="5" t="s">
        <v>358</v>
      </c>
      <c r="B159" s="6" t="s">
        <v>372</v>
      </c>
      <c r="C159" s="5">
        <v>2021</v>
      </c>
      <c r="D159" s="7">
        <v>484.03930664000001</v>
      </c>
      <c r="E159" s="11">
        <v>72.071463414634152</v>
      </c>
      <c r="F159" s="10">
        <f>Table1[[#This Row],[Life expectancy at birth, total (years) '[SP.DYN.LE00.IN']]]/Table1[[#This Row],[Current health expenditure per capita (current US$) '[SH.XPD.CHEX.PC.CD']]]</f>
        <v>0.14889589011876814</v>
      </c>
      <c r="G159" s="4">
        <f>Table1[[#This Row],[Life expectancy at birth, total (years) '[SP.DYN.LE00.IN']]]/Table1[[#This Row],[Current health expenditure per capita (current US$) '[SH.XPD.CHEX.PC.CD']]]*1000</f>
        <v>148.89589011876814</v>
      </c>
    </row>
    <row r="160" spans="1:7" x14ac:dyDescent="0.25">
      <c r="A160" s="5" t="s">
        <v>358</v>
      </c>
      <c r="B160" s="6" t="s">
        <v>372</v>
      </c>
      <c r="C160" s="5">
        <v>2022</v>
      </c>
      <c r="D160" s="7">
        <v>529.01873779000005</v>
      </c>
      <c r="E160" s="11">
        <v>74.103365853658545</v>
      </c>
      <c r="F160" s="10">
        <f>Table1[[#This Row],[Life expectancy at birth, total (years) '[SP.DYN.LE00.IN']]]/Table1[[#This Row],[Current health expenditure per capita (current US$) '[SH.XPD.CHEX.PC.CD']]]</f>
        <v>0.1400770153496429</v>
      </c>
      <c r="G160" s="4">
        <f>Table1[[#This Row],[Life expectancy at birth, total (years) '[SP.DYN.LE00.IN']]]/Table1[[#This Row],[Current health expenditure per capita (current US$) '[SH.XPD.CHEX.PC.CD']]]*1000</f>
        <v>140.07701534964289</v>
      </c>
    </row>
    <row r="161" spans="1:7" x14ac:dyDescent="0.25">
      <c r="A161" s="5" t="s">
        <v>358</v>
      </c>
      <c r="B161" s="6" t="s">
        <v>372</v>
      </c>
      <c r="C161" s="5">
        <v>2023</v>
      </c>
      <c r="D161" s="7">
        <v>558.22644043000003</v>
      </c>
      <c r="E161" s="11">
        <v>74.183780487804881</v>
      </c>
      <c r="F161" s="10">
        <f>Table1[[#This Row],[Life expectancy at birth, total (years) '[SP.DYN.LE00.IN']]]/Table1[[#This Row],[Current health expenditure per capita (current US$) '[SH.XPD.CHEX.PC.CD']]]</f>
        <v>0.13289191466936134</v>
      </c>
      <c r="G161" s="4">
        <f>Table1[[#This Row],[Life expectancy at birth, total (years) '[SP.DYN.LE00.IN']]]/Table1[[#This Row],[Current health expenditure per capita (current US$) '[SH.XPD.CHEX.PC.CD']]]*1000</f>
        <v>132.89191466936134</v>
      </c>
    </row>
    <row r="162" spans="1:7" hidden="1" x14ac:dyDescent="0.25">
      <c r="B162" s="1"/>
      <c r="D162" s="3"/>
      <c r="E162"/>
      <c r="F162" t="e">
        <f>Table1[[#This Row],[Life expectancy at birth, total (years) '[SP.DYN.LE00.IN']]]/Table1[[#This Row],[Current health expenditure per capita (current US$) '[SH.XPD.CHEX.PC.CD']]]</f>
        <v>#DIV/0!</v>
      </c>
      <c r="G162" s="2" t="e">
        <f>Table1[[#This Row],[Life expectancy at birth, total (years) '[SP.DYN.LE00.IN']]]/Table1[[#This Row],[Current health expenditure per capita (current US$) '[SH.XPD.CHEX.PC.CD']]]*1000</f>
        <v>#DIV/0!</v>
      </c>
    </row>
    <row r="163" spans="1:7" x14ac:dyDescent="0.25">
      <c r="A163" s="5" t="s">
        <v>366</v>
      </c>
      <c r="B163" s="6" t="s">
        <v>364</v>
      </c>
      <c r="C163" s="5">
        <v>2015</v>
      </c>
      <c r="D163" s="7">
        <v>4465.4555664099998</v>
      </c>
      <c r="E163" s="11">
        <v>80.992682926829289</v>
      </c>
      <c r="F163" s="10">
        <f>Table1[[#This Row],[Life expectancy at birth, total (years) '[SP.DYN.LE00.IN']]]/Table1[[#This Row],[Current health expenditure per capita (current US$) '[SH.XPD.CHEX.PC.CD']]]</f>
        <v>1.8137608072079262E-2</v>
      </c>
      <c r="G163" s="4">
        <f>Table1[[#This Row],[Life expectancy at birth, total (years) '[SP.DYN.LE00.IN']]]/Table1[[#This Row],[Current health expenditure per capita (current US$) '[SH.XPD.CHEX.PC.CD']]]*1000</f>
        <v>18.137608072079264</v>
      </c>
    </row>
    <row r="164" spans="1:7" x14ac:dyDescent="0.25">
      <c r="A164" s="5" t="s">
        <v>366</v>
      </c>
      <c r="B164" s="6" t="s">
        <v>364</v>
      </c>
      <c r="C164" s="5">
        <v>2016</v>
      </c>
      <c r="D164" s="7">
        <v>4569.640625</v>
      </c>
      <c r="E164" s="11">
        <v>81.439024390243901</v>
      </c>
      <c r="F164" s="10">
        <f>Table1[[#This Row],[Life expectancy at birth, total (years) '[SP.DYN.LE00.IN']]]/Table1[[#This Row],[Current health expenditure per capita (current US$) '[SH.XPD.CHEX.PC.CD']]]</f>
        <v>1.7821756911189028E-2</v>
      </c>
      <c r="G164" s="4">
        <f>Table1[[#This Row],[Life expectancy at birth, total (years) '[SP.DYN.LE00.IN']]]/Table1[[#This Row],[Current health expenditure per capita (current US$) '[SH.XPD.CHEX.PC.CD']]]*1000</f>
        <v>17.821756911189027</v>
      </c>
    </row>
    <row r="165" spans="1:7" x14ac:dyDescent="0.25">
      <c r="A165" s="5" t="s">
        <v>366</v>
      </c>
      <c r="B165" s="6" t="s">
        <v>364</v>
      </c>
      <c r="C165" s="5">
        <v>2017</v>
      </c>
      <c r="D165" s="7">
        <v>4827.5932617199996</v>
      </c>
      <c r="E165" s="11">
        <v>81.492682926829275</v>
      </c>
      <c r="F165" s="10">
        <f>Table1[[#This Row],[Life expectancy at birth, total (years) '[SP.DYN.LE00.IN']]]/Table1[[#This Row],[Current health expenditure per capita (current US$) '[SH.XPD.CHEX.PC.CD']]]</f>
        <v>1.6880602509125767E-2</v>
      </c>
      <c r="G165" s="4">
        <f>Table1[[#This Row],[Life expectancy at birth, total (years) '[SP.DYN.LE00.IN']]]/Table1[[#This Row],[Current health expenditure per capita (current US$) '[SH.XPD.CHEX.PC.CD']]]*1000</f>
        <v>16.880602509125769</v>
      </c>
    </row>
    <row r="166" spans="1:7" x14ac:dyDescent="0.25">
      <c r="A166" s="5" t="s">
        <v>366</v>
      </c>
      <c r="B166" s="6" t="s">
        <v>364</v>
      </c>
      <c r="C166" s="5">
        <v>2018</v>
      </c>
      <c r="D166" s="7">
        <v>5233.6826171900002</v>
      </c>
      <c r="E166" s="11">
        <v>81.595121951219525</v>
      </c>
      <c r="F166" s="10">
        <f>Table1[[#This Row],[Life expectancy at birth, total (years) '[SP.DYN.LE00.IN']]]/Table1[[#This Row],[Current health expenditure per capita (current US$) '[SH.XPD.CHEX.PC.CD']]]</f>
        <v>1.5590384041099631E-2</v>
      </c>
      <c r="G166" s="4">
        <f>Table1[[#This Row],[Life expectancy at birth, total (years) '[SP.DYN.LE00.IN']]]/Table1[[#This Row],[Current health expenditure per capita (current US$) '[SH.XPD.CHEX.PC.CD']]]*1000</f>
        <v>15.590384041099631</v>
      </c>
    </row>
    <row r="167" spans="1:7" x14ac:dyDescent="0.25">
      <c r="A167" s="5" t="s">
        <v>366</v>
      </c>
      <c r="B167" s="6" t="s">
        <v>364</v>
      </c>
      <c r="C167" s="5">
        <v>2019</v>
      </c>
      <c r="D167" s="7">
        <v>5087.4565429699996</v>
      </c>
      <c r="E167" s="11">
        <v>81.995121951219517</v>
      </c>
      <c r="F167" s="10">
        <f>Table1[[#This Row],[Life expectancy at birth, total (years) '[SP.DYN.LE00.IN']]]/Table1[[#This Row],[Current health expenditure per capita (current US$) '[SH.XPD.CHEX.PC.CD']]]</f>
        <v>1.6117114958853623E-2</v>
      </c>
      <c r="G167" s="4">
        <f>Table1[[#This Row],[Life expectancy at birth, total (years) '[SP.DYN.LE00.IN']]]/Table1[[#This Row],[Current health expenditure per capita (current US$) '[SH.XPD.CHEX.PC.CD']]]*1000</f>
        <v>16.117114958853623</v>
      </c>
    </row>
    <row r="168" spans="1:7" x14ac:dyDescent="0.25">
      <c r="A168" s="5" t="s">
        <v>366</v>
      </c>
      <c r="B168" s="6" t="s">
        <v>364</v>
      </c>
      <c r="C168" s="5">
        <v>2020</v>
      </c>
      <c r="D168" s="7">
        <v>5269.40625</v>
      </c>
      <c r="E168" s="11">
        <v>80.695121951219519</v>
      </c>
      <c r="F168" s="10">
        <f>Table1[[#This Row],[Life expectancy at birth, total (years) '[SP.DYN.LE00.IN']]]/Table1[[#This Row],[Current health expenditure per capita (current US$) '[SH.XPD.CHEX.PC.CD']]]</f>
        <v>1.5313892708731562E-2</v>
      </c>
      <c r="G168" s="4">
        <f>Table1[[#This Row],[Life expectancy at birth, total (years) '[SP.DYN.LE00.IN']]]/Table1[[#This Row],[Current health expenditure per capita (current US$) '[SH.XPD.CHEX.PC.CD']]]*1000</f>
        <v>15.313892708731561</v>
      </c>
    </row>
    <row r="169" spans="1:7" x14ac:dyDescent="0.25">
      <c r="A169" s="5" t="s">
        <v>366</v>
      </c>
      <c r="B169" s="6" t="s">
        <v>364</v>
      </c>
      <c r="C169" s="5">
        <v>2021</v>
      </c>
      <c r="D169" s="7">
        <v>5847.1733398400002</v>
      </c>
      <c r="E169" s="11">
        <v>81.790243902439045</v>
      </c>
      <c r="F169" s="10">
        <f>Table1[[#This Row],[Life expectancy at birth, total (years) '[SP.DYN.LE00.IN']]]/Table1[[#This Row],[Current health expenditure per capita (current US$) '[SH.XPD.CHEX.PC.CD']]]</f>
        <v>1.3987997131050868E-2</v>
      </c>
      <c r="G169" s="4">
        <f>Table1[[#This Row],[Life expectancy at birth, total (years) '[SP.DYN.LE00.IN']]]/Table1[[#This Row],[Current health expenditure per capita (current US$) '[SH.XPD.CHEX.PC.CD']]]*1000</f>
        <v>13.987997131050868</v>
      </c>
    </row>
    <row r="170" spans="1:7" x14ac:dyDescent="0.25">
      <c r="A170" s="5" t="s">
        <v>366</v>
      </c>
      <c r="B170" s="6" t="s">
        <v>364</v>
      </c>
      <c r="C170" s="5">
        <v>2022</v>
      </c>
      <c r="D170" s="7">
        <v>5487.5927734400002</v>
      </c>
      <c r="E170" s="11">
        <v>81.748780487804893</v>
      </c>
      <c r="F170" s="10">
        <f>Table1[[#This Row],[Life expectancy at birth, total (years) '[SP.DYN.LE00.IN']]]/Table1[[#This Row],[Current health expenditure per capita (current US$) '[SH.XPD.CHEX.PC.CD']]]</f>
        <v>1.4897020216855329E-2</v>
      </c>
      <c r="G170" s="4">
        <f>Table1[[#This Row],[Life expectancy at birth, total (years) '[SP.DYN.LE00.IN']]]/Table1[[#This Row],[Current health expenditure per capita (current US$) '[SH.XPD.CHEX.PC.CD']]]*1000</f>
        <v>14.89702021685533</v>
      </c>
    </row>
    <row r="171" spans="1:7" x14ac:dyDescent="0.25">
      <c r="A171" s="5" t="s">
        <v>366</v>
      </c>
      <c r="B171" s="6" t="s">
        <v>364</v>
      </c>
      <c r="C171" s="5">
        <v>2023</v>
      </c>
      <c r="D171" s="7">
        <v>5931.0146484400002</v>
      </c>
      <c r="E171" s="11">
        <v>82.397560975609764</v>
      </c>
      <c r="F171" s="10">
        <f>Table1[[#This Row],[Life expectancy at birth, total (years) '[SP.DYN.LE00.IN']]]/Table1[[#This Row],[Current health expenditure per capita (current US$) '[SH.XPD.CHEX.PC.CD']]]</f>
        <v>1.389265848420764E-2</v>
      </c>
      <c r="G171" s="4">
        <f>Table1[[#This Row],[Life expectancy at birth, total (years) '[SP.DYN.LE00.IN']]]/Table1[[#This Row],[Current health expenditure per capita (current US$) '[SH.XPD.CHEX.PC.CD']]]*1000</f>
        <v>13.89265848420764</v>
      </c>
    </row>
    <row r="172" spans="1:7" hidden="1" x14ac:dyDescent="0.25">
      <c r="B172" s="1"/>
      <c r="D172" s="3"/>
      <c r="E172"/>
      <c r="F172" t="e">
        <f>Table1[[#This Row],[Life expectancy at birth, total (years) '[SP.DYN.LE00.IN']]]/Table1[[#This Row],[Current health expenditure per capita (current US$) '[SH.XPD.CHEX.PC.CD']]]</f>
        <v>#DIV/0!</v>
      </c>
      <c r="G172" s="2" t="e">
        <f>Table1[[#This Row],[Life expectancy at birth, total (years) '[SP.DYN.LE00.IN']]]/Table1[[#This Row],[Current health expenditure per capita (current US$) '[SH.XPD.CHEX.PC.CD']]]*1000</f>
        <v>#DIV/0!</v>
      </c>
    </row>
    <row r="173" spans="1:7" x14ac:dyDescent="0.25">
      <c r="A173" s="5" t="s">
        <v>375</v>
      </c>
      <c r="B173" s="6" t="s">
        <v>304</v>
      </c>
      <c r="C173" s="5">
        <v>2015</v>
      </c>
      <c r="D173" s="7">
        <v>286.78604125999999</v>
      </c>
      <c r="E173" s="11">
        <v>71.647000000000006</v>
      </c>
      <c r="F173" s="10">
        <f>Table1[[#This Row],[Life expectancy at birth, total (years) '[SP.DYN.LE00.IN']]]/Table1[[#This Row],[Current health expenditure per capita (current US$) '[SH.XPD.CHEX.PC.CD']]]</f>
        <v>0.2498273614894837</v>
      </c>
      <c r="G173" s="4">
        <f>Table1[[#This Row],[Life expectancy at birth, total (years) '[SP.DYN.LE00.IN']]]/Table1[[#This Row],[Current health expenditure per capita (current US$) '[SH.XPD.CHEX.PC.CD']]]*1000</f>
        <v>249.82736148948371</v>
      </c>
    </row>
    <row r="174" spans="1:7" x14ac:dyDescent="0.25">
      <c r="A174" s="5" t="s">
        <v>375</v>
      </c>
      <c r="B174" s="6" t="s">
        <v>304</v>
      </c>
      <c r="C174" s="5">
        <v>2016</v>
      </c>
      <c r="D174" s="7">
        <v>293.09829711999998</v>
      </c>
      <c r="E174" s="11">
        <v>71.843000000000004</v>
      </c>
      <c r="F174" s="10">
        <f>Table1[[#This Row],[Life expectancy at birth, total (years) '[SP.DYN.LE00.IN']]]/Table1[[#This Row],[Current health expenditure per capita (current US$) '[SH.XPD.CHEX.PC.CD']]]</f>
        <v>0.24511571955870531</v>
      </c>
      <c r="G174" s="4">
        <f>Table1[[#This Row],[Life expectancy at birth, total (years) '[SP.DYN.LE00.IN']]]/Table1[[#This Row],[Current health expenditure per capita (current US$) '[SH.XPD.CHEX.PC.CD']]]*1000</f>
        <v>245.11571955870531</v>
      </c>
    </row>
    <row r="175" spans="1:7" x14ac:dyDescent="0.25">
      <c r="A175" s="5" t="s">
        <v>375</v>
      </c>
      <c r="B175" s="6" t="s">
        <v>304</v>
      </c>
      <c r="C175" s="5">
        <v>2017</v>
      </c>
      <c r="D175" s="7">
        <v>280.71743773999998</v>
      </c>
      <c r="E175" s="11">
        <v>72.061999999999998</v>
      </c>
      <c r="F175" s="10">
        <f>Table1[[#This Row],[Life expectancy at birth, total (years) '[SP.DYN.LE00.IN']]]/Table1[[#This Row],[Current health expenditure per capita (current US$) '[SH.XPD.CHEX.PC.CD']]]</f>
        <v>0.25670653230578322</v>
      </c>
      <c r="G175" s="4">
        <f>Table1[[#This Row],[Life expectancy at birth, total (years) '[SP.DYN.LE00.IN']]]/Table1[[#This Row],[Current health expenditure per capita (current US$) '[SH.XPD.CHEX.PC.CD']]]*1000</f>
        <v>256.70653230578324</v>
      </c>
    </row>
    <row r="176" spans="1:7" x14ac:dyDescent="0.25">
      <c r="A176" s="5" t="s">
        <v>375</v>
      </c>
      <c r="B176" s="6" t="s">
        <v>304</v>
      </c>
      <c r="C176" s="5">
        <v>2018</v>
      </c>
      <c r="D176" s="7">
        <v>286.83633422999998</v>
      </c>
      <c r="E176" s="11">
        <v>72.322000000000003</v>
      </c>
      <c r="F176" s="10">
        <f>Table1[[#This Row],[Life expectancy at birth, total (years) '[SP.DYN.LE00.IN']]]/Table1[[#This Row],[Current health expenditure per capita (current US$) '[SH.XPD.CHEX.PC.CD']]]</f>
        <v>0.25213681590983011</v>
      </c>
      <c r="G176" s="4">
        <f>Table1[[#This Row],[Life expectancy at birth, total (years) '[SP.DYN.LE00.IN']]]/Table1[[#This Row],[Current health expenditure per capita (current US$) '[SH.XPD.CHEX.PC.CD']]]*1000</f>
        <v>252.13681590983012</v>
      </c>
    </row>
    <row r="177" spans="1:7" x14ac:dyDescent="0.25">
      <c r="A177" s="5" t="s">
        <v>375</v>
      </c>
      <c r="B177" s="6" t="s">
        <v>304</v>
      </c>
      <c r="C177" s="5">
        <v>2019</v>
      </c>
      <c r="D177" s="7">
        <v>298.14306641000002</v>
      </c>
      <c r="E177" s="11">
        <v>72.576999999999998</v>
      </c>
      <c r="F177" s="10">
        <f>Table1[[#This Row],[Life expectancy at birth, total (years) '[SP.DYN.LE00.IN']]]/Table1[[#This Row],[Current health expenditure per capita (current US$) '[SH.XPD.CHEX.PC.CD']]]</f>
        <v>0.24343011183829996</v>
      </c>
      <c r="G177" s="4">
        <f>Table1[[#This Row],[Life expectancy at birth, total (years) '[SP.DYN.LE00.IN']]]/Table1[[#This Row],[Current health expenditure per capita (current US$) '[SH.XPD.CHEX.PC.CD']]]*1000</f>
        <v>243.43011183829995</v>
      </c>
    </row>
    <row r="178" spans="1:7" x14ac:dyDescent="0.25">
      <c r="A178" s="5" t="s">
        <v>375</v>
      </c>
      <c r="B178" s="6" t="s">
        <v>304</v>
      </c>
      <c r="C178" s="5">
        <v>2020</v>
      </c>
      <c r="D178" s="7">
        <v>279.10131835999999</v>
      </c>
      <c r="E178" s="11">
        <v>71.58</v>
      </c>
      <c r="F178" s="10">
        <f>Table1[[#This Row],[Life expectancy at birth, total (years) '[SP.DYN.LE00.IN']]]/Table1[[#This Row],[Current health expenditure per capita (current US$) '[SH.XPD.CHEX.PC.CD']]]</f>
        <v>0.25646600460579783</v>
      </c>
      <c r="G178" s="4">
        <f>Table1[[#This Row],[Life expectancy at birth, total (years) '[SP.DYN.LE00.IN']]]/Table1[[#This Row],[Current health expenditure per capita (current US$) '[SH.XPD.CHEX.PC.CD']]]*1000</f>
        <v>256.46600460579782</v>
      </c>
    </row>
    <row r="179" spans="1:7" x14ac:dyDescent="0.25">
      <c r="A179" s="5" t="s">
        <v>375</v>
      </c>
      <c r="B179" s="6" t="s">
        <v>304</v>
      </c>
      <c r="C179" s="5">
        <v>2021</v>
      </c>
      <c r="D179" s="7">
        <v>308.93920897999999</v>
      </c>
      <c r="E179" s="11">
        <v>70.917000000000002</v>
      </c>
      <c r="F179" s="10">
        <f>Table1[[#This Row],[Life expectancy at birth, total (years) '[SP.DYN.LE00.IN']]]/Table1[[#This Row],[Current health expenditure per capita (current US$) '[SH.XPD.CHEX.PC.CD']]]</f>
        <v>0.22955001482052415</v>
      </c>
      <c r="G179" s="4">
        <f>Table1[[#This Row],[Life expectancy at birth, total (years) '[SP.DYN.LE00.IN']]]/Table1[[#This Row],[Current health expenditure per capita (current US$) '[SH.XPD.CHEX.PC.CD']]]*1000</f>
        <v>229.55001482052415</v>
      </c>
    </row>
    <row r="180" spans="1:7" x14ac:dyDescent="0.25">
      <c r="A180" s="5" t="s">
        <v>375</v>
      </c>
      <c r="B180" s="6" t="s">
        <v>304</v>
      </c>
      <c r="C180" s="5">
        <v>2022</v>
      </c>
      <c r="D180" s="7">
        <v>298.01553345000002</v>
      </c>
      <c r="E180" s="11">
        <v>72.19</v>
      </c>
      <c r="F180" s="10">
        <f>Table1[[#This Row],[Life expectancy at birth, total (years) '[SP.DYN.LE00.IN']]]/Table1[[#This Row],[Current health expenditure per capita (current US$) '[SH.XPD.CHEX.PC.CD']]]</f>
        <v>0.24223569544945139</v>
      </c>
      <c r="G180" s="4">
        <f>Table1[[#This Row],[Life expectancy at birth, total (years) '[SP.DYN.LE00.IN']]]/Table1[[#This Row],[Current health expenditure per capita (current US$) '[SH.XPD.CHEX.PC.CD']]]*1000</f>
        <v>242.23569544945138</v>
      </c>
    </row>
    <row r="181" spans="1:7" x14ac:dyDescent="0.25">
      <c r="A181" s="5" t="s">
        <v>375</v>
      </c>
      <c r="B181" s="6" t="s">
        <v>304</v>
      </c>
      <c r="C181" s="5">
        <v>2023</v>
      </c>
      <c r="D181" s="7">
        <v>309.40835571000002</v>
      </c>
      <c r="E181" s="11">
        <v>73.566000000000003</v>
      </c>
      <c r="F181" s="10">
        <f>Table1[[#This Row],[Life expectancy at birth, total (years) '[SP.DYN.LE00.IN']]]/Table1[[#This Row],[Current health expenditure per capita (current US$) '[SH.XPD.CHEX.PC.CD']]]</f>
        <v>0.23776345610055663</v>
      </c>
      <c r="G181" s="4">
        <f>Table1[[#This Row],[Life expectancy at birth, total (years) '[SP.DYN.LE00.IN']]]/Table1[[#This Row],[Current health expenditure per capita (current US$) '[SH.XPD.CHEX.PC.CD']]]*1000</f>
        <v>237.76345610055662</v>
      </c>
    </row>
    <row r="182" spans="1:7" hidden="1" x14ac:dyDescent="0.25">
      <c r="B182" s="1"/>
      <c r="D182" s="3"/>
      <c r="E182"/>
      <c r="F182" t="e">
        <f>Table1[[#This Row],[Life expectancy at birth, total (years) '[SP.DYN.LE00.IN']]]/Table1[[#This Row],[Current health expenditure per capita (current US$) '[SH.XPD.CHEX.PC.CD']]]</f>
        <v>#DIV/0!</v>
      </c>
      <c r="G182" s="2" t="e">
        <f>Table1[[#This Row],[Life expectancy at birth, total (years) '[SP.DYN.LE00.IN']]]/Table1[[#This Row],[Current health expenditure per capita (current US$) '[SH.XPD.CHEX.PC.CD']]]*1000</f>
        <v>#DIV/0!</v>
      </c>
    </row>
    <row r="183" spans="1:7" x14ac:dyDescent="0.25">
      <c r="A183" s="5" t="s">
        <v>184</v>
      </c>
      <c r="B183" s="6" t="s">
        <v>327</v>
      </c>
      <c r="C183" s="5">
        <v>2015</v>
      </c>
      <c r="D183" s="7">
        <v>27.34733391</v>
      </c>
      <c r="E183" s="11">
        <v>59.122999999999998</v>
      </c>
      <c r="F183" s="10">
        <f>Table1[[#This Row],[Life expectancy at birth, total (years) '[SP.DYN.LE00.IN']]]/Table1[[#This Row],[Current health expenditure per capita (current US$) '[SH.XPD.CHEX.PC.CD']]]</f>
        <v>2.1619292101589731</v>
      </c>
      <c r="G183" s="4">
        <f>Table1[[#This Row],[Life expectancy at birth, total (years) '[SP.DYN.LE00.IN']]]/Table1[[#This Row],[Current health expenditure per capita (current US$) '[SH.XPD.CHEX.PC.CD']]]*1000</f>
        <v>2161.9292101589731</v>
      </c>
    </row>
    <row r="184" spans="1:7" x14ac:dyDescent="0.25">
      <c r="A184" s="5" t="s">
        <v>184</v>
      </c>
      <c r="B184" s="6" t="s">
        <v>327</v>
      </c>
      <c r="C184" s="5">
        <v>2016</v>
      </c>
      <c r="D184" s="7">
        <v>36.585659030000002</v>
      </c>
      <c r="E184" s="11">
        <v>59.283000000000001</v>
      </c>
      <c r="F184" s="10">
        <f>Table1[[#This Row],[Life expectancy at birth, total (years) '[SP.DYN.LE00.IN']]]/Table1[[#This Row],[Current health expenditure per capita (current US$) '[SH.XPD.CHEX.PC.CD']]]</f>
        <v>1.620389015034233</v>
      </c>
      <c r="G184" s="4">
        <f>Table1[[#This Row],[Life expectancy at birth, total (years) '[SP.DYN.LE00.IN']]]/Table1[[#This Row],[Current health expenditure per capita (current US$) '[SH.XPD.CHEX.PC.CD']]]*1000</f>
        <v>1620.3890150342331</v>
      </c>
    </row>
    <row r="185" spans="1:7" x14ac:dyDescent="0.25">
      <c r="A185" s="5" t="s">
        <v>184</v>
      </c>
      <c r="B185" s="6" t="s">
        <v>327</v>
      </c>
      <c r="C185" s="5">
        <v>2017</v>
      </c>
      <c r="D185" s="7">
        <v>38.758621220000002</v>
      </c>
      <c r="E185" s="11">
        <v>59.527999999999999</v>
      </c>
      <c r="F185" s="10">
        <f>Table1[[#This Row],[Life expectancy at birth, total (years) '[SP.DYN.LE00.IN']]]/Table1[[#This Row],[Current health expenditure per capita (current US$) '[SH.XPD.CHEX.PC.CD']]]</f>
        <v>1.5358647476676157</v>
      </c>
      <c r="G185" s="4">
        <f>Table1[[#This Row],[Life expectancy at birth, total (years) '[SP.DYN.LE00.IN']]]/Table1[[#This Row],[Current health expenditure per capita (current US$) '[SH.XPD.CHEX.PC.CD']]]*1000</f>
        <v>1535.8647476676158</v>
      </c>
    </row>
    <row r="186" spans="1:7" x14ac:dyDescent="0.25">
      <c r="A186" s="5" t="s">
        <v>184</v>
      </c>
      <c r="B186" s="6" t="s">
        <v>327</v>
      </c>
      <c r="C186" s="5">
        <v>2018</v>
      </c>
      <c r="D186" s="7">
        <v>39.54786301</v>
      </c>
      <c r="E186" s="11">
        <v>59.71</v>
      </c>
      <c r="F186" s="10">
        <f>Table1[[#This Row],[Life expectancy at birth, total (years) '[SP.DYN.LE00.IN']]]/Table1[[#This Row],[Current health expenditure per capita (current US$) '[SH.XPD.CHEX.PC.CD']]]</f>
        <v>1.5098160925889179</v>
      </c>
      <c r="G186" s="4">
        <f>Table1[[#This Row],[Life expectancy at birth, total (years) '[SP.DYN.LE00.IN']]]/Table1[[#This Row],[Current health expenditure per capita (current US$) '[SH.XPD.CHEX.PC.CD']]]*1000</f>
        <v>1509.8160925889179</v>
      </c>
    </row>
    <row r="187" spans="1:7" x14ac:dyDescent="0.25">
      <c r="A187" s="5" t="s">
        <v>184</v>
      </c>
      <c r="B187" s="6" t="s">
        <v>327</v>
      </c>
      <c r="C187" s="5">
        <v>2019</v>
      </c>
      <c r="D187" s="7">
        <v>33.945728299999999</v>
      </c>
      <c r="E187" s="11">
        <v>59.887999999999998</v>
      </c>
      <c r="F187" s="10">
        <f>Table1[[#This Row],[Life expectancy at birth, total (years) '[SP.DYN.LE00.IN']]]/Table1[[#This Row],[Current health expenditure per capita (current US$) '[SH.XPD.CHEX.PC.CD']]]</f>
        <v>1.7642278719352149</v>
      </c>
      <c r="G187" s="4">
        <f>Table1[[#This Row],[Life expectancy at birth, total (years) '[SP.DYN.LE00.IN']]]/Table1[[#This Row],[Current health expenditure per capita (current US$) '[SH.XPD.CHEX.PC.CD']]]*1000</f>
        <v>1764.2278719352148</v>
      </c>
    </row>
    <row r="188" spans="1:7" x14ac:dyDescent="0.25">
      <c r="A188" s="5" t="s">
        <v>184</v>
      </c>
      <c r="B188" s="6" t="s">
        <v>327</v>
      </c>
      <c r="C188" s="5">
        <v>2020</v>
      </c>
      <c r="D188" s="7">
        <v>36.620525360000002</v>
      </c>
      <c r="E188" s="11">
        <v>60.154000000000003</v>
      </c>
      <c r="F188" s="10">
        <f>Table1[[#This Row],[Life expectancy at birth, total (years) '[SP.DYN.LE00.IN']]]/Table1[[#This Row],[Current health expenditure per capita (current US$) '[SH.XPD.CHEX.PC.CD']]]</f>
        <v>1.6426307216691443</v>
      </c>
      <c r="G188" s="4">
        <f>Table1[[#This Row],[Life expectancy at birth, total (years) '[SP.DYN.LE00.IN']]]/Table1[[#This Row],[Current health expenditure per capita (current US$) '[SH.XPD.CHEX.PC.CD']]]*1000</f>
        <v>1642.6307216691444</v>
      </c>
    </row>
    <row r="189" spans="1:7" x14ac:dyDescent="0.25">
      <c r="A189" s="5" t="s">
        <v>184</v>
      </c>
      <c r="B189" s="6" t="s">
        <v>327</v>
      </c>
      <c r="C189" s="5">
        <v>2021</v>
      </c>
      <c r="D189" s="7">
        <v>38.450531009999999</v>
      </c>
      <c r="E189" s="11">
        <v>59.61</v>
      </c>
      <c r="F189" s="10">
        <f>Table1[[#This Row],[Life expectancy at birth, total (years) '[SP.DYN.LE00.IN']]]/Table1[[#This Row],[Current health expenditure per capita (current US$) '[SH.XPD.CHEX.PC.CD']]]</f>
        <v>1.5503036872103786</v>
      </c>
      <c r="G189" s="4">
        <f>Table1[[#This Row],[Life expectancy at birth, total (years) '[SP.DYN.LE00.IN']]]/Table1[[#This Row],[Current health expenditure per capita (current US$) '[SH.XPD.CHEX.PC.CD']]]*1000</f>
        <v>1550.3036872103785</v>
      </c>
    </row>
    <row r="190" spans="1:7" x14ac:dyDescent="0.25">
      <c r="A190" s="5" t="s">
        <v>184</v>
      </c>
      <c r="B190" s="6" t="s">
        <v>327</v>
      </c>
      <c r="C190" s="5">
        <v>2022</v>
      </c>
      <c r="D190" s="7">
        <v>37.762912749999998</v>
      </c>
      <c r="E190" s="11">
        <v>60.475000000000001</v>
      </c>
      <c r="F190" s="10">
        <f>Table1[[#This Row],[Life expectancy at birth, total (years) '[SP.DYN.LE00.IN']]]/Table1[[#This Row],[Current health expenditure per capita (current US$) '[SH.XPD.CHEX.PC.CD']]]</f>
        <v>1.6014389673900356</v>
      </c>
      <c r="G190" s="4">
        <f>Table1[[#This Row],[Life expectancy at birth, total (years) '[SP.DYN.LE00.IN']]]/Table1[[#This Row],[Current health expenditure per capita (current US$) '[SH.XPD.CHEX.PC.CD']]]*1000</f>
        <v>1601.4389673900355</v>
      </c>
    </row>
    <row r="191" spans="1:7" x14ac:dyDescent="0.25">
      <c r="A191" s="5" t="s">
        <v>184</v>
      </c>
      <c r="B191" s="6" t="s">
        <v>327</v>
      </c>
      <c r="C191" s="5">
        <v>2023</v>
      </c>
      <c r="D191" s="7">
        <v>46.528221129999999</v>
      </c>
      <c r="E191" s="11">
        <v>60.774000000000001</v>
      </c>
      <c r="F191" s="10">
        <f>Table1[[#This Row],[Life expectancy at birth, total (years) '[SP.DYN.LE00.IN']]]/Table1[[#This Row],[Current health expenditure per capita (current US$) '[SH.XPD.CHEX.PC.CD']]]</f>
        <v>1.3061750164528587</v>
      </c>
      <c r="G191" s="4">
        <f>Table1[[#This Row],[Life expectancy at birth, total (years) '[SP.DYN.LE00.IN']]]/Table1[[#This Row],[Current health expenditure per capita (current US$) '[SH.XPD.CHEX.PC.CD']]]*1000</f>
        <v>1306.1750164528587</v>
      </c>
    </row>
    <row r="192" spans="1:7" hidden="1" x14ac:dyDescent="0.25">
      <c r="B192" s="1"/>
      <c r="D192" s="3"/>
      <c r="E192"/>
      <c r="F192" t="e">
        <f>Table1[[#This Row],[Life expectancy at birth, total (years) '[SP.DYN.LE00.IN']]]/Table1[[#This Row],[Current health expenditure per capita (current US$) '[SH.XPD.CHEX.PC.CD']]]</f>
        <v>#DIV/0!</v>
      </c>
      <c r="G192" s="2" t="e">
        <f>Table1[[#This Row],[Life expectancy at birth, total (years) '[SP.DYN.LE00.IN']]]/Table1[[#This Row],[Current health expenditure per capita (current US$) '[SH.XPD.CHEX.PC.CD']]]*1000</f>
        <v>#DIV/0!</v>
      </c>
    </row>
    <row r="193" spans="1:7" x14ac:dyDescent="0.25">
      <c r="A193" s="5" t="s">
        <v>58</v>
      </c>
      <c r="B193" s="6" t="s">
        <v>155</v>
      </c>
      <c r="C193" s="5">
        <v>2015</v>
      </c>
      <c r="D193" s="7">
        <v>96.866714479999999</v>
      </c>
      <c r="E193" s="11">
        <v>70.796999999999997</v>
      </c>
      <c r="F193" s="10">
        <f>Table1[[#This Row],[Life expectancy at birth, total (years) '[SP.DYN.LE00.IN']]]/Table1[[#This Row],[Current health expenditure per capita (current US$) '[SH.XPD.CHEX.PC.CD']]]</f>
        <v>0.73087025176865483</v>
      </c>
      <c r="G193" s="4">
        <f>Table1[[#This Row],[Life expectancy at birth, total (years) '[SP.DYN.LE00.IN']]]/Table1[[#This Row],[Current health expenditure per capita (current US$) '[SH.XPD.CHEX.PC.CD']]]*1000</f>
        <v>730.87025176865484</v>
      </c>
    </row>
    <row r="194" spans="1:7" x14ac:dyDescent="0.25">
      <c r="A194" s="5" t="s">
        <v>58</v>
      </c>
      <c r="B194" s="6" t="s">
        <v>155</v>
      </c>
      <c r="C194" s="5">
        <v>2016</v>
      </c>
      <c r="D194" s="7">
        <v>97.42939758</v>
      </c>
      <c r="E194" s="11">
        <v>71.119</v>
      </c>
      <c r="F194" s="10">
        <f>Table1[[#This Row],[Life expectancy at birth, total (years) '[SP.DYN.LE00.IN']]]/Table1[[#This Row],[Current health expenditure per capita (current US$) '[SH.XPD.CHEX.PC.CD']]]</f>
        <v>0.72995422086648598</v>
      </c>
      <c r="G194" s="4">
        <f>Table1[[#This Row],[Life expectancy at birth, total (years) '[SP.DYN.LE00.IN']]]/Table1[[#This Row],[Current health expenditure per capita (current US$) '[SH.XPD.CHEX.PC.CD']]]*1000</f>
        <v>729.95422086648603</v>
      </c>
    </row>
    <row r="195" spans="1:7" x14ac:dyDescent="0.25">
      <c r="A195" s="5" t="s">
        <v>58</v>
      </c>
      <c r="B195" s="6" t="s">
        <v>155</v>
      </c>
      <c r="C195" s="5">
        <v>2017</v>
      </c>
      <c r="D195" s="7">
        <v>103.63583374</v>
      </c>
      <c r="E195" s="11">
        <v>71.412999999999997</v>
      </c>
      <c r="F195" s="10">
        <f>Table1[[#This Row],[Life expectancy at birth, total (years) '[SP.DYN.LE00.IN']]]/Table1[[#This Row],[Current health expenditure per capita (current US$) '[SH.XPD.CHEX.PC.CD']]]</f>
        <v>0.68907633028899873</v>
      </c>
      <c r="G195" s="4">
        <f>Table1[[#This Row],[Life expectancy at birth, total (years) '[SP.DYN.LE00.IN']]]/Table1[[#This Row],[Current health expenditure per capita (current US$) '[SH.XPD.CHEX.PC.CD']]]*1000</f>
        <v>689.07633028899875</v>
      </c>
    </row>
    <row r="196" spans="1:7" x14ac:dyDescent="0.25">
      <c r="A196" s="5" t="s">
        <v>58</v>
      </c>
      <c r="B196" s="6" t="s">
        <v>155</v>
      </c>
      <c r="C196" s="5">
        <v>2018</v>
      </c>
      <c r="D196" s="7">
        <v>102.01222992</v>
      </c>
      <c r="E196" s="11">
        <v>71.710999999999999</v>
      </c>
      <c r="F196" s="10">
        <f>Table1[[#This Row],[Life expectancy at birth, total (years) '[SP.DYN.LE00.IN']]]/Table1[[#This Row],[Current health expenditure per capita (current US$) '[SH.XPD.CHEX.PC.CD']]]</f>
        <v>0.70296473330930198</v>
      </c>
      <c r="G196" s="4">
        <f>Table1[[#This Row],[Life expectancy at birth, total (years) '[SP.DYN.LE00.IN']]]/Table1[[#This Row],[Current health expenditure per capita (current US$) '[SH.XPD.CHEX.PC.CD']]]*1000</f>
        <v>702.96473330930201</v>
      </c>
    </row>
    <row r="197" spans="1:7" x14ac:dyDescent="0.25">
      <c r="A197" s="5" t="s">
        <v>58</v>
      </c>
      <c r="B197" s="6" t="s">
        <v>155</v>
      </c>
      <c r="C197" s="5">
        <v>2019</v>
      </c>
      <c r="D197" s="7">
        <v>115.71811676</v>
      </c>
      <c r="E197" s="11">
        <v>72.004999999999995</v>
      </c>
      <c r="F197" s="10">
        <f>Table1[[#This Row],[Life expectancy at birth, total (years) '[SP.DYN.LE00.IN']]]/Table1[[#This Row],[Current health expenditure per capita (current US$) '[SH.XPD.CHEX.PC.CD']]]</f>
        <v>0.6222448309398152</v>
      </c>
      <c r="G197" s="4">
        <f>Table1[[#This Row],[Life expectancy at birth, total (years) '[SP.DYN.LE00.IN']]]/Table1[[#This Row],[Current health expenditure per capita (current US$) '[SH.XPD.CHEX.PC.CD']]]*1000</f>
        <v>622.24483093981519</v>
      </c>
    </row>
    <row r="198" spans="1:7" x14ac:dyDescent="0.25">
      <c r="A198" s="5" t="s">
        <v>58</v>
      </c>
      <c r="B198" s="6" t="s">
        <v>155</v>
      </c>
      <c r="C198" s="5">
        <v>2020</v>
      </c>
      <c r="D198" s="7">
        <v>134.13723755000001</v>
      </c>
      <c r="E198" s="11">
        <v>72.253</v>
      </c>
      <c r="F198" s="10">
        <f>Table1[[#This Row],[Life expectancy at birth, total (years) '[SP.DYN.LE00.IN']]]/Table1[[#This Row],[Current health expenditure per capita (current US$) '[SH.XPD.CHEX.PC.CD']]]</f>
        <v>0.5386498284867951</v>
      </c>
      <c r="G198" s="4">
        <f>Table1[[#This Row],[Life expectancy at birth, total (years) '[SP.DYN.LE00.IN']]]/Table1[[#This Row],[Current health expenditure per capita (current US$) '[SH.XPD.CHEX.PC.CD']]]*1000</f>
        <v>538.64982848679506</v>
      </c>
    </row>
    <row r="199" spans="1:7" x14ac:dyDescent="0.25">
      <c r="A199" s="5" t="s">
        <v>58</v>
      </c>
      <c r="B199" s="6" t="s">
        <v>155</v>
      </c>
      <c r="C199" s="5">
        <v>2021</v>
      </c>
      <c r="D199" s="7">
        <v>161.46617126000001</v>
      </c>
      <c r="E199" s="11">
        <v>72.447999999999993</v>
      </c>
      <c r="F199" s="10">
        <f>Table1[[#This Row],[Life expectancy at birth, total (years) '[SP.DYN.LE00.IN']]]/Table1[[#This Row],[Current health expenditure per capita (current US$) '[SH.XPD.CHEX.PC.CD']]]</f>
        <v>0.44868841215873634</v>
      </c>
      <c r="G199" s="4">
        <f>Table1[[#This Row],[Life expectancy at birth, total (years) '[SP.DYN.LE00.IN']]]/Table1[[#This Row],[Current health expenditure per capita (current US$) '[SH.XPD.CHEX.PC.CD']]]*1000</f>
        <v>448.68841215873636</v>
      </c>
    </row>
    <row r="200" spans="1:7" x14ac:dyDescent="0.25">
      <c r="A200" s="5" t="s">
        <v>58</v>
      </c>
      <c r="B200" s="6" t="s">
        <v>155</v>
      </c>
      <c r="C200" s="5">
        <v>2022</v>
      </c>
      <c r="D200" s="7">
        <v>138.00679016000001</v>
      </c>
      <c r="E200" s="11">
        <v>72.754000000000005</v>
      </c>
      <c r="F200" s="10">
        <f>Table1[[#This Row],[Life expectancy at birth, total (years) '[SP.DYN.LE00.IN']]]/Table1[[#This Row],[Current health expenditure per capita (current US$) '[SH.XPD.CHEX.PC.CD']]]</f>
        <v>0.52717695930505803</v>
      </c>
      <c r="G200" s="4">
        <f>Table1[[#This Row],[Life expectancy at birth, total (years) '[SP.DYN.LE00.IN']]]/Table1[[#This Row],[Current health expenditure per capita (current US$) '[SH.XPD.CHEX.PC.CD']]]*1000</f>
        <v>527.17695930505806</v>
      </c>
    </row>
    <row r="201" spans="1:7" x14ac:dyDescent="0.25">
      <c r="A201" s="5" t="s">
        <v>58</v>
      </c>
      <c r="B201" s="6" t="s">
        <v>155</v>
      </c>
      <c r="C201" s="5">
        <v>2023</v>
      </c>
      <c r="D201" s="7">
        <v>162.19680786000001</v>
      </c>
      <c r="E201" s="11">
        <v>72.974999999999994</v>
      </c>
      <c r="F201" s="10">
        <f>Table1[[#This Row],[Life expectancy at birth, total (years) '[SP.DYN.LE00.IN']]]/Table1[[#This Row],[Current health expenditure per capita (current US$) '[SH.XPD.CHEX.PC.CD']]]</f>
        <v>0.44991637605462792</v>
      </c>
      <c r="G201" s="4">
        <f>Table1[[#This Row],[Life expectancy at birth, total (years) '[SP.DYN.LE00.IN']]]/Table1[[#This Row],[Current health expenditure per capita (current US$) '[SH.XPD.CHEX.PC.CD']]]*1000</f>
        <v>449.9163760546279</v>
      </c>
    </row>
    <row r="202" spans="1:7" hidden="1" x14ac:dyDescent="0.25">
      <c r="B202" s="1"/>
      <c r="D202" s="3"/>
      <c r="E202"/>
      <c r="F202" t="e">
        <f>Table1[[#This Row],[Life expectancy at birth, total (years) '[SP.DYN.LE00.IN']]]/Table1[[#This Row],[Current health expenditure per capita (current US$) '[SH.XPD.CHEX.PC.CD']]]</f>
        <v>#DIV/0!</v>
      </c>
      <c r="G202" s="2" t="e">
        <f>Table1[[#This Row],[Life expectancy at birth, total (years) '[SP.DYN.LE00.IN']]]/Table1[[#This Row],[Current health expenditure per capita (current US$) '[SH.XPD.CHEX.PC.CD']]]*1000</f>
        <v>#DIV/0!</v>
      </c>
    </row>
    <row r="203" spans="1:7" x14ac:dyDescent="0.25">
      <c r="A203" s="5" t="s">
        <v>309</v>
      </c>
      <c r="B203" s="6" t="s">
        <v>75</v>
      </c>
      <c r="C203" s="5">
        <v>2015</v>
      </c>
      <c r="D203" s="7">
        <v>196.25799560999999</v>
      </c>
      <c r="E203" s="11">
        <v>67.204999999999998</v>
      </c>
      <c r="F203" s="10">
        <f>Table1[[#This Row],[Life expectancy at birth, total (years) '[SP.DYN.LE00.IN']]]/Table1[[#This Row],[Current health expenditure per capita (current US$) '[SH.XPD.CHEX.PC.CD']]]</f>
        <v>0.34243190852488092</v>
      </c>
      <c r="G203" s="4">
        <f>Table1[[#This Row],[Life expectancy at birth, total (years) '[SP.DYN.LE00.IN']]]/Table1[[#This Row],[Current health expenditure per capita (current US$) '[SH.XPD.CHEX.PC.CD']]]*1000</f>
        <v>342.4319085248809</v>
      </c>
    </row>
    <row r="204" spans="1:7" x14ac:dyDescent="0.25">
      <c r="A204" s="5" t="s">
        <v>309</v>
      </c>
      <c r="B204" s="6" t="s">
        <v>75</v>
      </c>
      <c r="C204" s="5">
        <v>2016</v>
      </c>
      <c r="D204" s="7">
        <v>207.45112610000001</v>
      </c>
      <c r="E204" s="11">
        <v>67.391999999999996</v>
      </c>
      <c r="F204" s="10">
        <f>Table1[[#This Row],[Life expectancy at birth, total (years) '[SP.DYN.LE00.IN']]]/Table1[[#This Row],[Current health expenditure per capita (current US$) '[SH.XPD.CHEX.PC.CD']]]</f>
        <v>0.32485723874795586</v>
      </c>
      <c r="G204" s="4">
        <f>Table1[[#This Row],[Life expectancy at birth, total (years) '[SP.DYN.LE00.IN']]]/Table1[[#This Row],[Current health expenditure per capita (current US$) '[SH.XPD.CHEX.PC.CD']]]*1000</f>
        <v>324.85723874795588</v>
      </c>
    </row>
    <row r="205" spans="1:7" x14ac:dyDescent="0.25">
      <c r="A205" s="5" t="s">
        <v>309</v>
      </c>
      <c r="B205" s="6" t="s">
        <v>75</v>
      </c>
      <c r="C205" s="5">
        <v>2017</v>
      </c>
      <c r="D205" s="7">
        <v>214.58572387999999</v>
      </c>
      <c r="E205" s="11">
        <v>67.536000000000001</v>
      </c>
      <c r="F205" s="10">
        <f>Table1[[#This Row],[Life expectancy at birth, total (years) '[SP.DYN.LE00.IN']]]/Table1[[#This Row],[Current health expenditure per capita (current US$) '[SH.XPD.CHEX.PC.CD']]]</f>
        <v>0.31472736759397513</v>
      </c>
      <c r="G205" s="4">
        <f>Table1[[#This Row],[Life expectancy at birth, total (years) '[SP.DYN.LE00.IN']]]/Table1[[#This Row],[Current health expenditure per capita (current US$) '[SH.XPD.CHEX.PC.CD']]]*1000</f>
        <v>314.72736759397515</v>
      </c>
    </row>
    <row r="206" spans="1:7" x14ac:dyDescent="0.25">
      <c r="A206" s="5" t="s">
        <v>309</v>
      </c>
      <c r="B206" s="6" t="s">
        <v>75</v>
      </c>
      <c r="C206" s="5">
        <v>2018</v>
      </c>
      <c r="D206" s="7">
        <v>231.18806458</v>
      </c>
      <c r="E206" s="11">
        <v>67.698999999999998</v>
      </c>
      <c r="F206" s="10">
        <f>Table1[[#This Row],[Life expectancy at birth, total (years) '[SP.DYN.LE00.IN']]]/Table1[[#This Row],[Current health expenditure per capita (current US$) '[SH.XPD.CHEX.PC.CD']]]</f>
        <v>0.2928308609831955</v>
      </c>
      <c r="G206" s="4">
        <f>Table1[[#This Row],[Life expectancy at birth, total (years) '[SP.DYN.LE00.IN']]]/Table1[[#This Row],[Current health expenditure per capita (current US$) '[SH.XPD.CHEX.PC.CD']]]*1000</f>
        <v>292.83086098319552</v>
      </c>
    </row>
    <row r="207" spans="1:7" x14ac:dyDescent="0.25">
      <c r="A207" s="5" t="s">
        <v>309</v>
      </c>
      <c r="B207" s="6" t="s">
        <v>75</v>
      </c>
      <c r="C207" s="5">
        <v>2019</v>
      </c>
      <c r="D207" s="7">
        <v>241.34619140999999</v>
      </c>
      <c r="E207" s="11">
        <v>67.819999999999993</v>
      </c>
      <c r="F207" s="10">
        <f>Table1[[#This Row],[Life expectancy at birth, total (years) '[SP.DYN.LE00.IN']]]/Table1[[#This Row],[Current health expenditure per capita (current US$) '[SH.XPD.CHEX.PC.CD']]]</f>
        <v>0.28100712757794083</v>
      </c>
      <c r="G207" s="4">
        <f>Table1[[#This Row],[Life expectancy at birth, total (years) '[SP.DYN.LE00.IN']]]/Table1[[#This Row],[Current health expenditure per capita (current US$) '[SH.XPD.CHEX.PC.CD']]]*1000</f>
        <v>281.00712757794082</v>
      </c>
    </row>
    <row r="208" spans="1:7" x14ac:dyDescent="0.25">
      <c r="A208" s="5" t="s">
        <v>309</v>
      </c>
      <c r="B208" s="6" t="s">
        <v>75</v>
      </c>
      <c r="C208" s="5">
        <v>2020</v>
      </c>
      <c r="D208" s="7">
        <v>248.69514465</v>
      </c>
      <c r="E208" s="11">
        <v>62.905999999999999</v>
      </c>
      <c r="F208" s="10">
        <f>Table1[[#This Row],[Life expectancy at birth, total (years) '[SP.DYN.LE00.IN']]]/Table1[[#This Row],[Current health expenditure per capita (current US$) '[SH.XPD.CHEX.PC.CD']]]</f>
        <v>0.25294422248785947</v>
      </c>
      <c r="G208" s="4">
        <f>Table1[[#This Row],[Life expectancy at birth, total (years) '[SP.DYN.LE00.IN']]]/Table1[[#This Row],[Current health expenditure per capita (current US$) '[SH.XPD.CHEX.PC.CD']]]*1000</f>
        <v>252.94422248785946</v>
      </c>
    </row>
    <row r="209" spans="1:7" x14ac:dyDescent="0.25">
      <c r="A209" s="5" t="s">
        <v>309</v>
      </c>
      <c r="B209" s="6" t="s">
        <v>75</v>
      </c>
      <c r="C209" s="5">
        <v>2021</v>
      </c>
      <c r="D209" s="7">
        <v>276.20880126999998</v>
      </c>
      <c r="E209" s="11">
        <v>61.427</v>
      </c>
      <c r="F209" s="10">
        <f>Table1[[#This Row],[Life expectancy at birth, total (years) '[SP.DYN.LE00.IN']]]/Table1[[#This Row],[Current health expenditure per capita (current US$) '[SH.XPD.CHEX.PC.CD']]]</f>
        <v>0.2223933477773353</v>
      </c>
      <c r="G209" s="4">
        <f>Table1[[#This Row],[Life expectancy at birth, total (years) '[SP.DYN.LE00.IN']]]/Table1[[#This Row],[Current health expenditure per capita (current US$) '[SH.XPD.CHEX.PC.CD']]]*1000</f>
        <v>222.39334777733529</v>
      </c>
    </row>
    <row r="210" spans="1:7" x14ac:dyDescent="0.25">
      <c r="A210" s="5" t="s">
        <v>309</v>
      </c>
      <c r="B210" s="6" t="s">
        <v>75</v>
      </c>
      <c r="C210" s="5">
        <v>2022</v>
      </c>
      <c r="D210" s="7">
        <v>260.88070678999998</v>
      </c>
      <c r="E210" s="11">
        <v>67.433999999999997</v>
      </c>
      <c r="F210" s="10">
        <f>Table1[[#This Row],[Life expectancy at birth, total (years) '[SP.DYN.LE00.IN']]]/Table1[[#This Row],[Current health expenditure per capita (current US$) '[SH.XPD.CHEX.PC.CD']]]</f>
        <v>0.25848596022963882</v>
      </c>
      <c r="G210" s="4">
        <f>Table1[[#This Row],[Life expectancy at birth, total (years) '[SP.DYN.LE00.IN']]]/Table1[[#This Row],[Current health expenditure per capita (current US$) '[SH.XPD.CHEX.PC.CD']]]*1000</f>
        <v>258.48596022963881</v>
      </c>
    </row>
    <row r="211" spans="1:7" x14ac:dyDescent="0.25">
      <c r="A211" s="5" t="s">
        <v>309</v>
      </c>
      <c r="B211" s="6" t="s">
        <v>75</v>
      </c>
      <c r="C211" s="5">
        <v>2023</v>
      </c>
      <c r="D211" s="7">
        <v>255.04104613999999</v>
      </c>
      <c r="E211" s="11">
        <v>68.581000000000003</v>
      </c>
      <c r="F211" s="10">
        <f>Table1[[#This Row],[Life expectancy at birth, total (years) '[SP.DYN.LE00.IN']]]/Table1[[#This Row],[Current health expenditure per capita (current US$) '[SH.XPD.CHEX.PC.CD']]]</f>
        <v>0.26890181419015097</v>
      </c>
      <c r="G211" s="4">
        <f>Table1[[#This Row],[Life expectancy at birth, total (years) '[SP.DYN.LE00.IN']]]/Table1[[#This Row],[Current health expenditure per capita (current US$) '[SH.XPD.CHEX.PC.CD']]]*1000</f>
        <v>268.90181419015096</v>
      </c>
    </row>
    <row r="212" spans="1:7" hidden="1" x14ac:dyDescent="0.25">
      <c r="B212" s="1"/>
      <c r="D212" s="3"/>
      <c r="E212"/>
      <c r="F212" t="e">
        <f>Table1[[#This Row],[Life expectancy at birth, total (years) '[SP.DYN.LE00.IN']]]/Table1[[#This Row],[Current health expenditure per capita (current US$) '[SH.XPD.CHEX.PC.CD']]]</f>
        <v>#DIV/0!</v>
      </c>
      <c r="G212" s="2" t="e">
        <f>Table1[[#This Row],[Life expectancy at birth, total (years) '[SP.DYN.LE00.IN']]]/Table1[[#This Row],[Current health expenditure per capita (current US$) '[SH.XPD.CHEX.PC.CD']]]*1000</f>
        <v>#DIV/0!</v>
      </c>
    </row>
    <row r="213" spans="1:7" x14ac:dyDescent="0.25">
      <c r="A213" s="5" t="s">
        <v>286</v>
      </c>
      <c r="B213" s="6" t="s">
        <v>384</v>
      </c>
      <c r="C213" s="5">
        <v>2015</v>
      </c>
      <c r="D213" s="7">
        <v>430.83413696000002</v>
      </c>
      <c r="E213" s="11">
        <v>77.072999999999993</v>
      </c>
      <c r="F213" s="10">
        <f>Table1[[#This Row],[Life expectancy at birth, total (years) '[SP.DYN.LE00.IN']]]/Table1[[#This Row],[Current health expenditure per capita (current US$) '[SH.XPD.CHEX.PC.CD']]]</f>
        <v>0.17889250964149039</v>
      </c>
      <c r="G213" s="4">
        <f>Table1[[#This Row],[Life expectancy at birth, total (years) '[SP.DYN.LE00.IN']]]/Table1[[#This Row],[Current health expenditure per capita (current US$) '[SH.XPD.CHEX.PC.CD']]]*1000</f>
        <v>178.89250964149039</v>
      </c>
    </row>
    <row r="214" spans="1:7" x14ac:dyDescent="0.25">
      <c r="A214" s="5" t="s">
        <v>286</v>
      </c>
      <c r="B214" s="6" t="s">
        <v>384</v>
      </c>
      <c r="C214" s="5">
        <v>2016</v>
      </c>
      <c r="D214" s="7">
        <v>450.44155884000003</v>
      </c>
      <c r="E214" s="11">
        <v>77.123999999999995</v>
      </c>
      <c r="F214" s="10">
        <f>Table1[[#This Row],[Life expectancy at birth, total (years) '[SP.DYN.LE00.IN']]]/Table1[[#This Row],[Current health expenditure per capita (current US$) '[SH.XPD.CHEX.PC.CD']]]</f>
        <v>0.17121865974936601</v>
      </c>
      <c r="G214" s="4">
        <f>Table1[[#This Row],[Life expectancy at birth, total (years) '[SP.DYN.LE00.IN']]]/Table1[[#This Row],[Current health expenditure per capita (current US$) '[SH.XPD.CHEX.PC.CD']]]*1000</f>
        <v>171.218659749366</v>
      </c>
    </row>
    <row r="215" spans="1:7" x14ac:dyDescent="0.25">
      <c r="A215" s="5" t="s">
        <v>286</v>
      </c>
      <c r="B215" s="6" t="s">
        <v>384</v>
      </c>
      <c r="C215" s="5">
        <v>2017</v>
      </c>
      <c r="D215" s="7">
        <v>471.32647704999999</v>
      </c>
      <c r="E215" s="11">
        <v>77.385000000000005</v>
      </c>
      <c r="F215" s="10">
        <f>Table1[[#This Row],[Life expectancy at birth, total (years) '[SP.DYN.LE00.IN']]]/Table1[[#This Row],[Current health expenditure per capita (current US$) '[SH.XPD.CHEX.PC.CD']]]</f>
        <v>0.16418555665352685</v>
      </c>
      <c r="G215" s="4">
        <f>Table1[[#This Row],[Life expectancy at birth, total (years) '[SP.DYN.LE00.IN']]]/Table1[[#This Row],[Current health expenditure per capita (current US$) '[SH.XPD.CHEX.PC.CD']]]*1000</f>
        <v>164.18555665352685</v>
      </c>
    </row>
    <row r="216" spans="1:7" x14ac:dyDescent="0.25">
      <c r="A216" s="5" t="s">
        <v>286</v>
      </c>
      <c r="B216" s="6" t="s">
        <v>384</v>
      </c>
      <c r="C216" s="5">
        <v>2018</v>
      </c>
      <c r="D216" s="7">
        <v>529.85546875</v>
      </c>
      <c r="E216" s="11">
        <v>77.941999999999993</v>
      </c>
      <c r="F216" s="10">
        <f>Table1[[#This Row],[Life expectancy at birth, total (years) '[SP.DYN.LE00.IN']]]/Table1[[#This Row],[Current health expenditure per capita (current US$) '[SH.XPD.CHEX.PC.CD']]]</f>
        <v>0.1471004917319729</v>
      </c>
      <c r="G216" s="4">
        <f>Table1[[#This Row],[Life expectancy at birth, total (years) '[SP.DYN.LE00.IN']]]/Table1[[#This Row],[Current health expenditure per capita (current US$) '[SH.XPD.CHEX.PC.CD']]]*1000</f>
        <v>147.10049173197291</v>
      </c>
    </row>
    <row r="217" spans="1:7" x14ac:dyDescent="0.25">
      <c r="A217" s="5" t="s">
        <v>286</v>
      </c>
      <c r="B217" s="6" t="s">
        <v>384</v>
      </c>
      <c r="C217" s="5">
        <v>2019</v>
      </c>
      <c r="D217" s="7">
        <v>546.45086670000001</v>
      </c>
      <c r="E217" s="11">
        <v>77.394000000000005</v>
      </c>
      <c r="F217" s="10">
        <f>Table1[[#This Row],[Life expectancy at birth, total (years) '[SP.DYN.LE00.IN']]]/Table1[[#This Row],[Current health expenditure per capita (current US$) '[SH.XPD.CHEX.PC.CD']]]</f>
        <v>0.14163029965965648</v>
      </c>
      <c r="G217" s="4">
        <f>Table1[[#This Row],[Life expectancy at birth, total (years) '[SP.DYN.LE00.IN']]]/Table1[[#This Row],[Current health expenditure per capita (current US$) '[SH.XPD.CHEX.PC.CD']]]*1000</f>
        <v>141.63029965965649</v>
      </c>
    </row>
    <row r="218" spans="1:7" x14ac:dyDescent="0.25">
      <c r="A218" s="5" t="s">
        <v>286</v>
      </c>
      <c r="B218" s="6" t="s">
        <v>384</v>
      </c>
      <c r="C218" s="5">
        <v>2020</v>
      </c>
      <c r="D218" s="7">
        <v>594.82257079999999</v>
      </c>
      <c r="E218" s="11">
        <v>76.040000000000006</v>
      </c>
      <c r="F218" s="10">
        <f>Table1[[#This Row],[Life expectancy at birth, total (years) '[SP.DYN.LE00.IN']]]/Table1[[#This Row],[Current health expenditure per capita (current US$) '[SH.XPD.CHEX.PC.CD']]]</f>
        <v>0.12783644019716814</v>
      </c>
      <c r="G218" s="4">
        <f>Table1[[#This Row],[Life expectancy at birth, total (years) '[SP.DYN.LE00.IN']]]/Table1[[#This Row],[Current health expenditure per capita (current US$) '[SH.XPD.CHEX.PC.CD']]]*1000</f>
        <v>127.83644019716814</v>
      </c>
    </row>
    <row r="219" spans="1:7" x14ac:dyDescent="0.25">
      <c r="A219" s="5" t="s">
        <v>286</v>
      </c>
      <c r="B219" s="6" t="s">
        <v>384</v>
      </c>
      <c r="C219" s="5">
        <v>2021</v>
      </c>
      <c r="D219" s="7">
        <v>697.07427978999999</v>
      </c>
      <c r="E219" s="11">
        <v>74.566999999999993</v>
      </c>
      <c r="F219" s="10">
        <f>Table1[[#This Row],[Life expectancy at birth, total (years) '[SP.DYN.LE00.IN']]]/Table1[[#This Row],[Current health expenditure per capita (current US$) '[SH.XPD.CHEX.PC.CD']]]</f>
        <v>0.10697138334018576</v>
      </c>
      <c r="G219" s="4">
        <f>Table1[[#This Row],[Life expectancy at birth, total (years) '[SP.DYN.LE00.IN']]]/Table1[[#This Row],[Current health expenditure per capita (current US$) '[SH.XPD.CHEX.PC.CD']]]*1000</f>
        <v>106.97138334018575</v>
      </c>
    </row>
    <row r="220" spans="1:7" x14ac:dyDescent="0.25">
      <c r="A220" s="5" t="s">
        <v>286</v>
      </c>
      <c r="B220" s="6" t="s">
        <v>384</v>
      </c>
      <c r="C220" s="5">
        <v>2022</v>
      </c>
      <c r="D220" s="7">
        <v>667.29681396000001</v>
      </c>
      <c r="E220" s="11">
        <v>76.777000000000001</v>
      </c>
      <c r="F220" s="10">
        <f>Table1[[#This Row],[Life expectancy at birth, total (years) '[SP.DYN.LE00.IN']]]/Table1[[#This Row],[Current health expenditure per capita (current US$) '[SH.XPD.CHEX.PC.CD']]]</f>
        <v>0.1150567459544356</v>
      </c>
      <c r="G220" s="4">
        <f>Table1[[#This Row],[Life expectancy at birth, total (years) '[SP.DYN.LE00.IN']]]/Table1[[#This Row],[Current health expenditure per capita (current US$) '[SH.XPD.CHEX.PC.CD']]]*1000</f>
        <v>115.0567459544356</v>
      </c>
    </row>
    <row r="221" spans="1:7" x14ac:dyDescent="0.25">
      <c r="A221" s="5" t="s">
        <v>286</v>
      </c>
      <c r="B221" s="6" t="s">
        <v>384</v>
      </c>
      <c r="C221" s="5">
        <v>2023</v>
      </c>
      <c r="D221" s="7">
        <v>772.88568114999998</v>
      </c>
      <c r="E221" s="11">
        <v>77.849999999999994</v>
      </c>
      <c r="F221" s="10">
        <f>Table1[[#This Row],[Life expectancy at birth, total (years) '[SP.DYN.LE00.IN']]]/Table1[[#This Row],[Current health expenditure per capita (current US$) '[SH.XPD.CHEX.PC.CD']]]</f>
        <v>0.10072640999657882</v>
      </c>
      <c r="G221" s="4">
        <f>Table1[[#This Row],[Life expectancy at birth, total (years) '[SP.DYN.LE00.IN']]]/Table1[[#This Row],[Current health expenditure per capita (current US$) '[SH.XPD.CHEX.PC.CD']]]*1000</f>
        <v>100.72640999657882</v>
      </c>
    </row>
    <row r="222" spans="1:7" hidden="1" x14ac:dyDescent="0.25">
      <c r="B222" s="1"/>
      <c r="D222" s="3"/>
      <c r="E222"/>
      <c r="F222" t="e">
        <f>Table1[[#This Row],[Life expectancy at birth, total (years) '[SP.DYN.LE00.IN']]]/Table1[[#This Row],[Current health expenditure per capita (current US$) '[SH.XPD.CHEX.PC.CD']]]</f>
        <v>#DIV/0!</v>
      </c>
      <c r="G222" s="2" t="e">
        <f>Table1[[#This Row],[Life expectancy at birth, total (years) '[SP.DYN.LE00.IN']]]/Table1[[#This Row],[Current health expenditure per capita (current US$) '[SH.XPD.CHEX.PC.CD']]]*1000</f>
        <v>#DIV/0!</v>
      </c>
    </row>
    <row r="223" spans="1:7" x14ac:dyDescent="0.25">
      <c r="A223" s="5" t="s">
        <v>62</v>
      </c>
      <c r="B223" s="6" t="s">
        <v>275</v>
      </c>
      <c r="C223" s="5">
        <v>2015</v>
      </c>
      <c r="D223" s="7">
        <v>374.79058837999997</v>
      </c>
      <c r="E223" s="11">
        <v>63.215000000000003</v>
      </c>
      <c r="F223" s="10">
        <f>Table1[[#This Row],[Life expectancy at birth, total (years) '[SP.DYN.LE00.IN']]]/Table1[[#This Row],[Current health expenditure per capita (current US$) '[SH.XPD.CHEX.PC.CD']]]</f>
        <v>0.16866752250434408</v>
      </c>
      <c r="G223" s="4">
        <f>Table1[[#This Row],[Life expectancy at birth, total (years) '[SP.DYN.LE00.IN']]]/Table1[[#This Row],[Current health expenditure per capita (current US$) '[SH.XPD.CHEX.PC.CD']]]*1000</f>
        <v>168.66752250434408</v>
      </c>
    </row>
    <row r="224" spans="1:7" x14ac:dyDescent="0.25">
      <c r="A224" s="5" t="s">
        <v>62</v>
      </c>
      <c r="B224" s="6" t="s">
        <v>275</v>
      </c>
      <c r="C224" s="5">
        <v>2016</v>
      </c>
      <c r="D224" s="7">
        <v>389.31076050000001</v>
      </c>
      <c r="E224" s="11">
        <v>64.319999999999993</v>
      </c>
      <c r="F224" s="10">
        <f>Table1[[#This Row],[Life expectancy at birth, total (years) '[SP.DYN.LE00.IN']]]/Table1[[#This Row],[Current health expenditure per capita (current US$) '[SH.XPD.CHEX.PC.CD']]]</f>
        <v>0.16521505831843039</v>
      </c>
      <c r="G224" s="4">
        <f>Table1[[#This Row],[Life expectancy at birth, total (years) '[SP.DYN.LE00.IN']]]/Table1[[#This Row],[Current health expenditure per capita (current US$) '[SH.XPD.CHEX.PC.CD']]]*1000</f>
        <v>165.21505831843038</v>
      </c>
    </row>
    <row r="225" spans="1:7" x14ac:dyDescent="0.25">
      <c r="A225" s="5" t="s">
        <v>62</v>
      </c>
      <c r="B225" s="6" t="s">
        <v>275</v>
      </c>
      <c r="C225" s="5">
        <v>2017</v>
      </c>
      <c r="D225" s="7">
        <v>471.05056762999999</v>
      </c>
      <c r="E225" s="11">
        <v>65.42</v>
      </c>
      <c r="F225" s="10">
        <f>Table1[[#This Row],[Life expectancy at birth, total (years) '[SP.DYN.LE00.IN']]]/Table1[[#This Row],[Current health expenditure per capita (current US$) '[SH.XPD.CHEX.PC.CD']]]</f>
        <v>0.13888105544410678</v>
      </c>
      <c r="G225" s="4">
        <f>Table1[[#This Row],[Life expectancy at birth, total (years) '[SP.DYN.LE00.IN']]]/Table1[[#This Row],[Current health expenditure per capita (current US$) '[SH.XPD.CHEX.PC.CD']]]*1000</f>
        <v>138.88105544410678</v>
      </c>
    </row>
    <row r="226" spans="1:7" x14ac:dyDescent="0.25">
      <c r="A226" s="5" t="s">
        <v>62</v>
      </c>
      <c r="B226" s="6" t="s">
        <v>275</v>
      </c>
      <c r="C226" s="5">
        <v>2018</v>
      </c>
      <c r="D226" s="7">
        <v>447.44738769999998</v>
      </c>
      <c r="E226" s="11">
        <v>66.370999999999995</v>
      </c>
      <c r="F226" s="10">
        <f>Table1[[#This Row],[Life expectancy at birth, total (years) '[SP.DYN.LE00.IN']]]/Table1[[#This Row],[Current health expenditure per capita (current US$) '[SH.XPD.CHEX.PC.CD']]]</f>
        <v>0.14833252316247683</v>
      </c>
      <c r="G226" s="4">
        <f>Table1[[#This Row],[Life expectancy at birth, total (years) '[SP.DYN.LE00.IN']]]/Table1[[#This Row],[Current health expenditure per capita (current US$) '[SH.XPD.CHEX.PC.CD']]]*1000</f>
        <v>148.33252316247683</v>
      </c>
    </row>
    <row r="227" spans="1:7" x14ac:dyDescent="0.25">
      <c r="A227" s="5" t="s">
        <v>62</v>
      </c>
      <c r="B227" s="6" t="s">
        <v>275</v>
      </c>
      <c r="C227" s="5">
        <v>2019</v>
      </c>
      <c r="D227" s="7">
        <v>438.28546143</v>
      </c>
      <c r="E227" s="11">
        <v>67.167000000000002</v>
      </c>
      <c r="F227" s="10">
        <f>Table1[[#This Row],[Life expectancy at birth, total (years) '[SP.DYN.LE00.IN']]]/Table1[[#This Row],[Current health expenditure per capita (current US$) '[SH.XPD.CHEX.PC.CD']]]</f>
        <v>0.15324943652215456</v>
      </c>
      <c r="G227" s="4">
        <f>Table1[[#This Row],[Life expectancy at birth, total (years) '[SP.DYN.LE00.IN']]]/Table1[[#This Row],[Current health expenditure per capita (current US$) '[SH.XPD.CHEX.PC.CD']]]*1000</f>
        <v>153.24943652215455</v>
      </c>
    </row>
    <row r="228" spans="1:7" x14ac:dyDescent="0.25">
      <c r="A228" s="5" t="s">
        <v>62</v>
      </c>
      <c r="B228" s="6" t="s">
        <v>275</v>
      </c>
      <c r="C228" s="5">
        <v>2020</v>
      </c>
      <c r="D228" s="7">
        <v>386.28860473999998</v>
      </c>
      <c r="E228" s="11">
        <v>67.643000000000001</v>
      </c>
      <c r="F228" s="10">
        <f>Table1[[#This Row],[Life expectancy at birth, total (years) '[SP.DYN.LE00.IN']]]/Table1[[#This Row],[Current health expenditure per capita (current US$) '[SH.XPD.CHEX.PC.CD']]]</f>
        <v>0.17511000627504558</v>
      </c>
      <c r="G228" s="4">
        <f>Table1[[#This Row],[Life expectancy at birth, total (years) '[SP.DYN.LE00.IN']]]/Table1[[#This Row],[Current health expenditure per capita (current US$) '[SH.XPD.CHEX.PC.CD']]]*1000</f>
        <v>175.11000627504558</v>
      </c>
    </row>
    <row r="229" spans="1:7" x14ac:dyDescent="0.25">
      <c r="A229" s="5" t="s">
        <v>62</v>
      </c>
      <c r="B229" s="6" t="s">
        <v>275</v>
      </c>
      <c r="C229" s="5">
        <v>2021</v>
      </c>
      <c r="D229" s="7">
        <v>492.14276123000002</v>
      </c>
      <c r="E229" s="11">
        <v>63.302999999999997</v>
      </c>
      <c r="F229" s="10">
        <f>Table1[[#This Row],[Life expectancy at birth, total (years) '[SP.DYN.LE00.IN']]]/Table1[[#This Row],[Current health expenditure per capita (current US$) '[SH.XPD.CHEX.PC.CD']]]</f>
        <v>0.12862731098957628</v>
      </c>
      <c r="G229" s="4">
        <f>Table1[[#This Row],[Life expectancy at birth, total (years) '[SP.DYN.LE00.IN']]]/Table1[[#This Row],[Current health expenditure per capita (current US$) '[SH.XPD.CHEX.PC.CD']]]*1000</f>
        <v>128.62731098957627</v>
      </c>
    </row>
    <row r="230" spans="1:7" x14ac:dyDescent="0.25">
      <c r="A230" s="5" t="s">
        <v>62</v>
      </c>
      <c r="B230" s="6" t="s">
        <v>275</v>
      </c>
      <c r="C230" s="5">
        <v>2022</v>
      </c>
      <c r="D230" s="7">
        <v>477.77633666999998</v>
      </c>
      <c r="E230" s="11">
        <v>68.748999999999995</v>
      </c>
      <c r="F230" s="10">
        <f>Table1[[#This Row],[Life expectancy at birth, total (years) '[SP.DYN.LE00.IN']]]/Table1[[#This Row],[Current health expenditure per capita (current US$) '[SH.XPD.CHEX.PC.CD']]]</f>
        <v>0.14389368983647449</v>
      </c>
      <c r="G230" s="4">
        <f>Table1[[#This Row],[Life expectancy at birth, total (years) '[SP.DYN.LE00.IN']]]/Table1[[#This Row],[Current health expenditure per capita (current US$) '[SH.XPD.CHEX.PC.CD']]]*1000</f>
        <v>143.89368983647449</v>
      </c>
    </row>
    <row r="231" spans="1:7" x14ac:dyDescent="0.25">
      <c r="A231" s="5" t="s">
        <v>62</v>
      </c>
      <c r="B231" s="6" t="s">
        <v>275</v>
      </c>
      <c r="C231" s="5">
        <v>2023</v>
      </c>
      <c r="D231" s="7">
        <v>489.59677124000001</v>
      </c>
      <c r="E231" s="11">
        <v>69.162999999999997</v>
      </c>
      <c r="F231" s="10">
        <f>Table1[[#This Row],[Life expectancy at birth, total (years) '[SP.DYN.LE00.IN']]]/Table1[[#This Row],[Current health expenditure per capita (current US$) '[SH.XPD.CHEX.PC.CD']]]</f>
        <v>0.1412652289859492</v>
      </c>
      <c r="G231" s="4">
        <f>Table1[[#This Row],[Life expectancy at birth, total (years) '[SP.DYN.LE00.IN']]]/Table1[[#This Row],[Current health expenditure per capita (current US$) '[SH.XPD.CHEX.PC.CD']]]*1000</f>
        <v>141.26522898594919</v>
      </c>
    </row>
    <row r="232" spans="1:7" hidden="1" x14ac:dyDescent="0.25">
      <c r="B232" s="1"/>
      <c r="D232" s="3"/>
      <c r="E232"/>
      <c r="F232" t="e">
        <f>Table1[[#This Row],[Life expectancy at birth, total (years) '[SP.DYN.LE00.IN']]]/Table1[[#This Row],[Current health expenditure per capita (current US$) '[SH.XPD.CHEX.PC.CD']]]</f>
        <v>#DIV/0!</v>
      </c>
      <c r="G232" s="2" t="e">
        <f>Table1[[#This Row],[Life expectancy at birth, total (years) '[SP.DYN.LE00.IN']]]/Table1[[#This Row],[Current health expenditure per capita (current US$) '[SH.XPD.CHEX.PC.CD']]]*1000</f>
        <v>#DIV/0!</v>
      </c>
    </row>
    <row r="233" spans="1:7" x14ac:dyDescent="0.25">
      <c r="A233" s="5" t="s">
        <v>357</v>
      </c>
      <c r="B233" s="6" t="s">
        <v>138</v>
      </c>
      <c r="C233" s="5">
        <v>2015</v>
      </c>
      <c r="D233" s="7">
        <v>796.15252685999997</v>
      </c>
      <c r="E233" s="11">
        <v>75.105999999999995</v>
      </c>
      <c r="F233" s="10">
        <f>Table1[[#This Row],[Life expectancy at birth, total (years) '[SP.DYN.LE00.IN']]]/Table1[[#This Row],[Current health expenditure per capita (current US$) '[SH.XPD.CHEX.PC.CD']]]</f>
        <v>9.4336194970347773E-2</v>
      </c>
      <c r="G233" s="4">
        <f>Table1[[#This Row],[Life expectancy at birth, total (years) '[SP.DYN.LE00.IN']]]/Table1[[#This Row],[Current health expenditure per capita (current US$) '[SH.XPD.CHEX.PC.CD']]]*1000</f>
        <v>94.336194970347776</v>
      </c>
    </row>
    <row r="234" spans="1:7" x14ac:dyDescent="0.25">
      <c r="A234" s="5" t="s">
        <v>357</v>
      </c>
      <c r="B234" s="6" t="s">
        <v>138</v>
      </c>
      <c r="C234" s="5">
        <v>2016</v>
      </c>
      <c r="D234" s="7">
        <v>810.20037841999999</v>
      </c>
      <c r="E234" s="11">
        <v>75.081000000000003</v>
      </c>
      <c r="F234" s="10">
        <f>Table1[[#This Row],[Life expectancy at birth, total (years) '[SP.DYN.LE00.IN']]]/Table1[[#This Row],[Current health expenditure per capita (current US$) '[SH.XPD.CHEX.PC.CD']]]</f>
        <v>9.2669667899215352E-2</v>
      </c>
      <c r="G234" s="4">
        <f>Table1[[#This Row],[Life expectancy at birth, total (years) '[SP.DYN.LE00.IN']]]/Table1[[#This Row],[Current health expenditure per capita (current US$) '[SH.XPD.CHEX.PC.CD']]]*1000</f>
        <v>92.669667899215355</v>
      </c>
    </row>
    <row r="235" spans="1:7" x14ac:dyDescent="0.25">
      <c r="A235" s="5" t="s">
        <v>357</v>
      </c>
      <c r="B235" s="6" t="s">
        <v>138</v>
      </c>
      <c r="C235" s="5">
        <v>2017</v>
      </c>
      <c r="D235" s="7">
        <v>954.75012206999997</v>
      </c>
      <c r="E235" s="11">
        <v>75.382999999999996</v>
      </c>
      <c r="F235" s="10">
        <f>Table1[[#This Row],[Life expectancy at birth, total (years) '[SP.DYN.LE00.IN']]]/Table1[[#This Row],[Current health expenditure per capita (current US$) '[SH.XPD.CHEX.PC.CD']]]</f>
        <v>7.8955737482977878E-2</v>
      </c>
      <c r="G235" s="4">
        <f>Table1[[#This Row],[Life expectancy at birth, total (years) '[SP.DYN.LE00.IN']]]/Table1[[#This Row],[Current health expenditure per capita (current US$) '[SH.XPD.CHEX.PC.CD']]]*1000</f>
        <v>78.955737482977881</v>
      </c>
    </row>
    <row r="236" spans="1:7" x14ac:dyDescent="0.25">
      <c r="A236" s="5" t="s">
        <v>357</v>
      </c>
      <c r="B236" s="6" t="s">
        <v>138</v>
      </c>
      <c r="C236" s="5">
        <v>2018</v>
      </c>
      <c r="D236" s="7">
        <v>880.28430175999995</v>
      </c>
      <c r="E236" s="11">
        <v>75.632999999999996</v>
      </c>
      <c r="F236" s="10">
        <f>Table1[[#This Row],[Life expectancy at birth, total (years) '[SP.DYN.LE00.IN']]]/Table1[[#This Row],[Current health expenditure per capita (current US$) '[SH.XPD.CHEX.PC.CD']]]</f>
        <v>8.5918833096060965E-2</v>
      </c>
      <c r="G236" s="4">
        <f>Table1[[#This Row],[Life expectancy at birth, total (years) '[SP.DYN.LE00.IN']]]/Table1[[#This Row],[Current health expenditure per capita (current US$) '[SH.XPD.CHEX.PC.CD']]]*1000</f>
        <v>85.918833096060965</v>
      </c>
    </row>
    <row r="237" spans="1:7" x14ac:dyDescent="0.25">
      <c r="A237" s="5" t="s">
        <v>357</v>
      </c>
      <c r="B237" s="6" t="s">
        <v>138</v>
      </c>
      <c r="C237" s="5">
        <v>2019</v>
      </c>
      <c r="D237" s="7">
        <v>868.17248534999999</v>
      </c>
      <c r="E237" s="11">
        <v>75.808999999999997</v>
      </c>
      <c r="F237" s="10">
        <f>Table1[[#This Row],[Life expectancy at birth, total (years) '[SP.DYN.LE00.IN']]]/Table1[[#This Row],[Current health expenditure per capita (current US$) '[SH.XPD.CHEX.PC.CD']]]</f>
        <v>8.7320205695574332E-2</v>
      </c>
      <c r="G237" s="4">
        <f>Table1[[#This Row],[Life expectancy at birth, total (years) '[SP.DYN.LE00.IN']]]/Table1[[#This Row],[Current health expenditure per capita (current US$) '[SH.XPD.CHEX.PC.CD']]]*1000</f>
        <v>87.32020569557433</v>
      </c>
    </row>
    <row r="238" spans="1:7" x14ac:dyDescent="0.25">
      <c r="A238" s="5" t="s">
        <v>357</v>
      </c>
      <c r="B238" s="6" t="s">
        <v>138</v>
      </c>
      <c r="C238" s="5">
        <v>2020</v>
      </c>
      <c r="D238" s="7">
        <v>680.76843262</v>
      </c>
      <c r="E238" s="11">
        <v>74.506</v>
      </c>
      <c r="F238" s="10">
        <f>Table1[[#This Row],[Life expectancy at birth, total (years) '[SP.DYN.LE00.IN']]]/Table1[[#This Row],[Current health expenditure per capita (current US$) '[SH.XPD.CHEX.PC.CD']]]</f>
        <v>0.10944397012249349</v>
      </c>
      <c r="G238" s="4">
        <f>Table1[[#This Row],[Life expectancy at birth, total (years) '[SP.DYN.LE00.IN']]]/Table1[[#This Row],[Current health expenditure per capita (current US$) '[SH.XPD.CHEX.PC.CD']]]*1000</f>
        <v>109.44397012249348</v>
      </c>
    </row>
    <row r="239" spans="1:7" x14ac:dyDescent="0.25">
      <c r="A239" s="5" t="s">
        <v>357</v>
      </c>
      <c r="B239" s="6" t="s">
        <v>138</v>
      </c>
      <c r="C239" s="5">
        <v>2021</v>
      </c>
      <c r="D239" s="7">
        <v>768.27075194999998</v>
      </c>
      <c r="E239" s="11">
        <v>73.037999999999997</v>
      </c>
      <c r="F239" s="10">
        <f>Table1[[#This Row],[Life expectancy at birth, total (years) '[SP.DYN.LE00.IN']]]/Table1[[#This Row],[Current health expenditure per capita (current US$) '[SH.XPD.CHEX.PC.CD']]]</f>
        <v>9.5068047058432595E-2</v>
      </c>
      <c r="G239" s="4">
        <f>Table1[[#This Row],[Life expectancy at birth, total (years) '[SP.DYN.LE00.IN']]]/Table1[[#This Row],[Current health expenditure per capita (current US$) '[SH.XPD.CHEX.PC.CD']]]*1000</f>
        <v>95.068047058432597</v>
      </c>
    </row>
    <row r="240" spans="1:7" x14ac:dyDescent="0.25">
      <c r="A240" s="5" t="s">
        <v>357</v>
      </c>
      <c r="B240" s="6" t="s">
        <v>138</v>
      </c>
      <c r="C240" s="5">
        <v>2022</v>
      </c>
      <c r="D240" s="7">
        <v>871.27526854999996</v>
      </c>
      <c r="E240" s="11">
        <v>74.872</v>
      </c>
      <c r="F240" s="10">
        <f>Table1[[#This Row],[Life expectancy at birth, total (years) '[SP.DYN.LE00.IN']]]/Table1[[#This Row],[Current health expenditure per capita (current US$) '[SH.XPD.CHEX.PC.CD']]]</f>
        <v>8.5933806114575045E-2</v>
      </c>
      <c r="G240" s="4">
        <f>Table1[[#This Row],[Life expectancy at birth, total (years) '[SP.DYN.LE00.IN']]]/Table1[[#This Row],[Current health expenditure per capita (current US$) '[SH.XPD.CHEX.PC.CD']]]*1000</f>
        <v>85.933806114575049</v>
      </c>
    </row>
    <row r="241" spans="1:7" x14ac:dyDescent="0.25">
      <c r="A241" s="5" t="s">
        <v>357</v>
      </c>
      <c r="B241" s="6" t="s">
        <v>138</v>
      </c>
      <c r="C241" s="5">
        <v>2023</v>
      </c>
      <c r="D241" s="7">
        <v>1009.8356323199999</v>
      </c>
      <c r="E241" s="11">
        <v>75.847999999999999</v>
      </c>
      <c r="F241" s="10">
        <f>Table1[[#This Row],[Life expectancy at birth, total (years) '[SP.DYN.LE00.IN']]]/Table1[[#This Row],[Current health expenditure per capita (current US$) '[SH.XPD.CHEX.PC.CD']]]</f>
        <v>7.5109253003626475E-2</v>
      </c>
      <c r="G241" s="4">
        <f>Table1[[#This Row],[Life expectancy at birth, total (years) '[SP.DYN.LE00.IN']]]/Table1[[#This Row],[Current health expenditure per capita (current US$) '[SH.XPD.CHEX.PC.CD']]]*1000</f>
        <v>75.109253003626478</v>
      </c>
    </row>
    <row r="242" spans="1:7" hidden="1" x14ac:dyDescent="0.25">
      <c r="B242" s="1"/>
      <c r="D242" s="3"/>
      <c r="E242"/>
      <c r="F242" t="e">
        <f>Table1[[#This Row],[Life expectancy at birth, total (years) '[SP.DYN.LE00.IN']]]/Table1[[#This Row],[Current health expenditure per capita (current US$) '[SH.XPD.CHEX.PC.CD']]]</f>
        <v>#DIV/0!</v>
      </c>
      <c r="G242" s="2" t="e">
        <f>Table1[[#This Row],[Life expectancy at birth, total (years) '[SP.DYN.LE00.IN']]]/Table1[[#This Row],[Current health expenditure per capita (current US$) '[SH.XPD.CHEX.PC.CD']]]*1000</f>
        <v>#DIV/0!</v>
      </c>
    </row>
    <row r="243" spans="1:7" x14ac:dyDescent="0.25">
      <c r="A243" s="5" t="s">
        <v>165</v>
      </c>
      <c r="B243" s="6" t="s">
        <v>136</v>
      </c>
      <c r="C243" s="5">
        <v>2015</v>
      </c>
      <c r="D243" s="7">
        <v>731.04980468999997</v>
      </c>
      <c r="E243" s="11">
        <v>74.88</v>
      </c>
      <c r="F243" s="10">
        <f>Table1[[#This Row],[Life expectancy at birth, total (years) '[SP.DYN.LE00.IN']]]/Table1[[#This Row],[Current health expenditure per capita (current US$) '[SH.XPD.CHEX.PC.CD']]]</f>
        <v>0.10242804186474366</v>
      </c>
      <c r="G243" s="4">
        <f>Table1[[#This Row],[Life expectancy at birth, total (years) '[SP.DYN.LE00.IN']]]/Table1[[#This Row],[Current health expenditure per capita (current US$) '[SH.XPD.CHEX.PC.CD']]]*1000</f>
        <v>102.42804186474366</v>
      </c>
    </row>
    <row r="244" spans="1:7" x14ac:dyDescent="0.25">
      <c r="A244" s="5" t="s">
        <v>165</v>
      </c>
      <c r="B244" s="6" t="s">
        <v>136</v>
      </c>
      <c r="C244" s="5">
        <v>2016</v>
      </c>
      <c r="D244" s="7">
        <v>679.46929932</v>
      </c>
      <c r="E244" s="11">
        <v>74.905000000000001</v>
      </c>
      <c r="F244" s="10">
        <f>Table1[[#This Row],[Life expectancy at birth, total (years) '[SP.DYN.LE00.IN']]]/Table1[[#This Row],[Current health expenditure per capita (current US$) '[SH.XPD.CHEX.PC.CD']]]</f>
        <v>0.11024044805992486</v>
      </c>
      <c r="G244" s="4">
        <f>Table1[[#This Row],[Life expectancy at birth, total (years) '[SP.DYN.LE00.IN']]]/Table1[[#This Row],[Current health expenditure per capita (current US$) '[SH.XPD.CHEX.PC.CD']]]*1000</f>
        <v>110.24044805992486</v>
      </c>
    </row>
    <row r="245" spans="1:7" x14ac:dyDescent="0.25">
      <c r="A245" s="5" t="s">
        <v>165</v>
      </c>
      <c r="B245" s="6" t="s">
        <v>136</v>
      </c>
      <c r="C245" s="5">
        <v>2017</v>
      </c>
      <c r="D245" s="7">
        <v>636.22973633000004</v>
      </c>
      <c r="E245" s="11">
        <v>74.942999999999998</v>
      </c>
      <c r="F245" s="10">
        <f>Table1[[#This Row],[Life expectancy at birth, total (years) '[SP.DYN.LE00.IN']]]/Table1[[#This Row],[Current health expenditure per capita (current US$) '[SH.XPD.CHEX.PC.CD']]]</f>
        <v>0.11779235662938035</v>
      </c>
      <c r="G245" s="4">
        <f>Table1[[#This Row],[Life expectancy at birth, total (years) '[SP.DYN.LE00.IN']]]/Table1[[#This Row],[Current health expenditure per capita (current US$) '[SH.XPD.CHEX.PC.CD']]]*1000</f>
        <v>117.79235662938035</v>
      </c>
    </row>
    <row r="246" spans="1:7" x14ac:dyDescent="0.25">
      <c r="A246" s="5" t="s">
        <v>165</v>
      </c>
      <c r="B246" s="6" t="s">
        <v>136</v>
      </c>
      <c r="C246" s="5">
        <v>2018</v>
      </c>
      <c r="D246" s="7">
        <v>748.69073486000002</v>
      </c>
      <c r="E246" s="11">
        <v>74.992000000000004</v>
      </c>
      <c r="F246" s="10">
        <f>Table1[[#This Row],[Life expectancy at birth, total (years) '[SP.DYN.LE00.IN']]]/Table1[[#This Row],[Current health expenditure per capita (current US$) '[SH.XPD.CHEX.PC.CD']]]</f>
        <v>0.10016418864061806</v>
      </c>
      <c r="G246" s="4">
        <f>Table1[[#This Row],[Life expectancy at birth, total (years) '[SP.DYN.LE00.IN']]]/Table1[[#This Row],[Current health expenditure per capita (current US$) '[SH.XPD.CHEX.PC.CD']]]*1000</f>
        <v>100.16418864061806</v>
      </c>
    </row>
    <row r="247" spans="1:7" x14ac:dyDescent="0.25">
      <c r="A247" s="5" t="s">
        <v>165</v>
      </c>
      <c r="B247" s="6" t="s">
        <v>136</v>
      </c>
      <c r="C247" s="5">
        <v>2019</v>
      </c>
      <c r="D247" s="7">
        <v>678.81982421999999</v>
      </c>
      <c r="E247" s="11">
        <v>75.049000000000007</v>
      </c>
      <c r="F247" s="10">
        <f>Table1[[#This Row],[Life expectancy at birth, total (years) '[SP.DYN.LE00.IN']]]/Table1[[#This Row],[Current health expenditure per capita (current US$) '[SH.XPD.CHEX.PC.CD']]]</f>
        <v>0.11055805579372301</v>
      </c>
      <c r="G247" s="4">
        <f>Table1[[#This Row],[Life expectancy at birth, total (years) '[SP.DYN.LE00.IN']]]/Table1[[#This Row],[Current health expenditure per capita (current US$) '[SH.XPD.CHEX.PC.CD']]]*1000</f>
        <v>110.558055793723</v>
      </c>
    </row>
    <row r="248" spans="1:7" x14ac:dyDescent="0.25">
      <c r="A248" s="5" t="s">
        <v>165</v>
      </c>
      <c r="B248" s="6" t="s">
        <v>136</v>
      </c>
      <c r="C248" s="5">
        <v>2020</v>
      </c>
      <c r="D248" s="7">
        <v>658.38983154000005</v>
      </c>
      <c r="E248" s="11">
        <v>75.114000000000004</v>
      </c>
      <c r="F248" s="10">
        <f>Table1[[#This Row],[Life expectancy at birth, total (years) '[SP.DYN.LE00.IN']]]/Table1[[#This Row],[Current health expenditure per capita (current US$) '[SH.XPD.CHEX.PC.CD']]]</f>
        <v>0.11408742420019666</v>
      </c>
      <c r="G248" s="4">
        <f>Table1[[#This Row],[Life expectancy at birth, total (years) '[SP.DYN.LE00.IN']]]/Table1[[#This Row],[Current health expenditure per capita (current US$) '[SH.XPD.CHEX.PC.CD']]]*1000</f>
        <v>114.08742420019665</v>
      </c>
    </row>
    <row r="249" spans="1:7" x14ac:dyDescent="0.25">
      <c r="A249" s="5" t="s">
        <v>165</v>
      </c>
      <c r="B249" s="6" t="s">
        <v>136</v>
      </c>
      <c r="C249" s="5">
        <v>2021</v>
      </c>
      <c r="D249" s="7">
        <v>665.87030029000005</v>
      </c>
      <c r="E249" s="11">
        <v>74.869</v>
      </c>
      <c r="F249" s="10">
        <f>Table1[[#This Row],[Life expectancy at birth, total (years) '[SP.DYN.LE00.IN']]]/Table1[[#This Row],[Current health expenditure per capita (current US$) '[SH.XPD.CHEX.PC.CD']]]</f>
        <v>0.11243781254005927</v>
      </c>
      <c r="G249" s="4">
        <f>Table1[[#This Row],[Life expectancy at birth, total (years) '[SP.DYN.LE00.IN']]]/Table1[[#This Row],[Current health expenditure per capita (current US$) '[SH.XPD.CHEX.PC.CD']]]*1000</f>
        <v>112.43781254005927</v>
      </c>
    </row>
    <row r="250" spans="1:7" x14ac:dyDescent="0.25">
      <c r="A250" s="5" t="s">
        <v>165</v>
      </c>
      <c r="B250" s="6" t="s">
        <v>136</v>
      </c>
      <c r="C250" s="5">
        <v>2022</v>
      </c>
      <c r="D250" s="7">
        <v>648.55499268000005</v>
      </c>
      <c r="E250" s="11">
        <v>72.917000000000002</v>
      </c>
      <c r="F250" s="10">
        <f>Table1[[#This Row],[Life expectancy at birth, total (years) '[SP.DYN.LE00.IN']]]/Table1[[#This Row],[Current health expenditure per capita (current US$) '[SH.XPD.CHEX.PC.CD']]]</f>
        <v>0.11242994167493453</v>
      </c>
      <c r="G250" s="4">
        <f>Table1[[#This Row],[Life expectancy at birth, total (years) '[SP.DYN.LE00.IN']]]/Table1[[#This Row],[Current health expenditure per capita (current US$) '[SH.XPD.CHEX.PC.CD']]]*1000</f>
        <v>112.42994167493453</v>
      </c>
    </row>
    <row r="251" spans="1:7" x14ac:dyDescent="0.25">
      <c r="A251" s="5" t="s">
        <v>165</v>
      </c>
      <c r="B251" s="6" t="s">
        <v>136</v>
      </c>
      <c r="C251" s="5">
        <v>2023</v>
      </c>
      <c r="D251" s="7">
        <v>733.00543213000003</v>
      </c>
      <c r="E251" s="11">
        <v>75.326999999999998</v>
      </c>
      <c r="F251" s="10">
        <f>Table1[[#This Row],[Life expectancy at birth, total (years) '[SP.DYN.LE00.IN']]]/Table1[[#This Row],[Current health expenditure per capita (current US$) '[SH.XPD.CHEX.PC.CD']]]</f>
        <v>0.1027645863156995</v>
      </c>
      <c r="G251" s="4">
        <f>Table1[[#This Row],[Life expectancy at birth, total (years) '[SP.DYN.LE00.IN']]]/Table1[[#This Row],[Current health expenditure per capita (current US$) '[SH.XPD.CHEX.PC.CD']]]*1000</f>
        <v>102.7645863156995</v>
      </c>
    </row>
    <row r="252" spans="1:7" hidden="1" x14ac:dyDescent="0.25">
      <c r="B252" s="1"/>
      <c r="D252" s="3"/>
      <c r="E252"/>
      <c r="F252" t="e">
        <f>Table1[[#This Row],[Life expectancy at birth, total (years) '[SP.DYN.LE00.IN']]]/Table1[[#This Row],[Current health expenditure per capita (current US$) '[SH.XPD.CHEX.PC.CD']]]</f>
        <v>#DIV/0!</v>
      </c>
      <c r="G252" s="2" t="e">
        <f>Table1[[#This Row],[Life expectancy at birth, total (years) '[SP.DYN.LE00.IN']]]/Table1[[#This Row],[Current health expenditure per capita (current US$) '[SH.XPD.CHEX.PC.CD']]]*1000</f>
        <v>#DIV/0!</v>
      </c>
    </row>
    <row r="253" spans="1:7" x14ac:dyDescent="0.25">
      <c r="A253" s="5" t="s">
        <v>65</v>
      </c>
      <c r="B253" s="6" t="s">
        <v>252</v>
      </c>
      <c r="C253" s="5">
        <v>2015</v>
      </c>
      <c r="D253" s="7">
        <v>534.21466064000003</v>
      </c>
      <c r="E253" s="11">
        <v>74.614634146341473</v>
      </c>
      <c r="F253" s="10">
        <f>Table1[[#This Row],[Life expectancy at birth, total (years) '[SP.DYN.LE00.IN']]]/Table1[[#This Row],[Current health expenditure per capita (current US$) '[SH.XPD.CHEX.PC.CD']]]</f>
        <v>0.13967163322876916</v>
      </c>
      <c r="G253" s="4">
        <f>Table1[[#This Row],[Life expectancy at birth, total (years) '[SP.DYN.LE00.IN']]]/Table1[[#This Row],[Current health expenditure per capita (current US$) '[SH.XPD.CHEX.PC.CD']]]*1000</f>
        <v>139.67163322876917</v>
      </c>
    </row>
    <row r="254" spans="1:7" x14ac:dyDescent="0.25">
      <c r="A254" s="5" t="s">
        <v>65</v>
      </c>
      <c r="B254" s="6" t="s">
        <v>252</v>
      </c>
      <c r="C254" s="5">
        <v>2016</v>
      </c>
      <c r="D254" s="7">
        <v>579.76715088000003</v>
      </c>
      <c r="E254" s="11">
        <v>74.812195121951234</v>
      </c>
      <c r="F254" s="10">
        <f>Table1[[#This Row],[Life expectancy at birth, total (years) '[SP.DYN.LE00.IN']]]/Table1[[#This Row],[Current health expenditure per capita (current US$) '[SH.XPD.CHEX.PC.CD']]]</f>
        <v>0.12903834756487581</v>
      </c>
      <c r="G254" s="4">
        <f>Table1[[#This Row],[Life expectancy at birth, total (years) '[SP.DYN.LE00.IN']]]/Table1[[#This Row],[Current health expenditure per capita (current US$) '[SH.XPD.CHEX.PC.CD']]]*1000</f>
        <v>129.03834756487581</v>
      </c>
    </row>
    <row r="255" spans="1:7" x14ac:dyDescent="0.25">
      <c r="A255" s="5" t="s">
        <v>65</v>
      </c>
      <c r="B255" s="6" t="s">
        <v>252</v>
      </c>
      <c r="C255" s="5">
        <v>2017</v>
      </c>
      <c r="D255" s="7">
        <v>647.56402588000003</v>
      </c>
      <c r="E255" s="11">
        <v>74.814634146341476</v>
      </c>
      <c r="F255" s="10">
        <f>Table1[[#This Row],[Life expectancy at birth, total (years) '[SP.DYN.LE00.IN']]]/Table1[[#This Row],[Current health expenditure per capita (current US$) '[SH.XPD.CHEX.PC.CD']]]</f>
        <v>0.11553241248179738</v>
      </c>
      <c r="G255" s="4">
        <f>Table1[[#This Row],[Life expectancy at birth, total (years) '[SP.DYN.LE00.IN']]]/Table1[[#This Row],[Current health expenditure per capita (current US$) '[SH.XPD.CHEX.PC.CD']]]*1000</f>
        <v>115.53241248179738</v>
      </c>
    </row>
    <row r="256" spans="1:7" x14ac:dyDescent="0.25">
      <c r="A256" s="5" t="s">
        <v>65</v>
      </c>
      <c r="B256" s="6" t="s">
        <v>252</v>
      </c>
      <c r="C256" s="5">
        <v>2018</v>
      </c>
      <c r="D256" s="7">
        <v>719.78033446999996</v>
      </c>
      <c r="E256" s="11">
        <v>74.963414634146361</v>
      </c>
      <c r="F256" s="10">
        <f>Table1[[#This Row],[Life expectancy at birth, total (years) '[SP.DYN.LE00.IN']]]/Table1[[#This Row],[Current health expenditure per capita (current US$) '[SH.XPD.CHEX.PC.CD']]]</f>
        <v>0.1041476281640073</v>
      </c>
      <c r="G256" s="4">
        <f>Table1[[#This Row],[Life expectancy at birth, total (years) '[SP.DYN.LE00.IN']]]/Table1[[#This Row],[Current health expenditure per capita (current US$) '[SH.XPD.CHEX.PC.CD']]]*1000</f>
        <v>104.1476281640073</v>
      </c>
    </row>
    <row r="257" spans="1:7" x14ac:dyDescent="0.25">
      <c r="A257" s="5" t="s">
        <v>65</v>
      </c>
      <c r="B257" s="6" t="s">
        <v>252</v>
      </c>
      <c r="C257" s="5">
        <v>2019</v>
      </c>
      <c r="D257" s="7">
        <v>733.06878661999997</v>
      </c>
      <c r="E257" s="11">
        <v>75.112195121951217</v>
      </c>
      <c r="F257" s="10">
        <f>Table1[[#This Row],[Life expectancy at birth, total (years) '[SP.DYN.LE00.IN']]]/Table1[[#This Row],[Current health expenditure per capita (current US$) '[SH.XPD.CHEX.PC.CD']]]</f>
        <v>0.10246268357472303</v>
      </c>
      <c r="G257" s="4">
        <f>Table1[[#This Row],[Life expectancy at birth, total (years) '[SP.DYN.LE00.IN']]]/Table1[[#This Row],[Current health expenditure per capita (current US$) '[SH.XPD.CHEX.PC.CD']]]*1000</f>
        <v>102.46268357472303</v>
      </c>
    </row>
    <row r="258" spans="1:7" x14ac:dyDescent="0.25">
      <c r="A258" s="5" t="s">
        <v>65</v>
      </c>
      <c r="B258" s="6" t="s">
        <v>252</v>
      </c>
      <c r="C258" s="5">
        <v>2020</v>
      </c>
      <c r="D258" s="7">
        <v>906.54833984000004</v>
      </c>
      <c r="E258" s="11">
        <v>73.356097560975613</v>
      </c>
      <c r="F258" s="10">
        <f>Table1[[#This Row],[Life expectancy at birth, total (years) '[SP.DYN.LE00.IN']]]/Table1[[#This Row],[Current health expenditure per capita (current US$) '[SH.XPD.CHEX.PC.CD']]]</f>
        <v>8.0918020956193576E-2</v>
      </c>
      <c r="G258" s="4">
        <f>Table1[[#This Row],[Life expectancy at birth, total (years) '[SP.DYN.LE00.IN']]]/Table1[[#This Row],[Current health expenditure per capita (current US$) '[SH.XPD.CHEX.PC.CD']]]*1000</f>
        <v>80.918020956193573</v>
      </c>
    </row>
    <row r="259" spans="1:7" x14ac:dyDescent="0.25">
      <c r="A259" s="5" t="s">
        <v>65</v>
      </c>
      <c r="B259" s="6" t="s">
        <v>252</v>
      </c>
      <c r="C259" s="5">
        <v>2021</v>
      </c>
      <c r="D259" s="7">
        <v>1109.1029052700001</v>
      </c>
      <c r="E259" s="11">
        <v>71.212195121951225</v>
      </c>
      <c r="F259" s="10">
        <f>Table1[[#This Row],[Life expectancy at birth, total (years) '[SP.DYN.LE00.IN']]]/Table1[[#This Row],[Current health expenditure per capita (current US$) '[SH.XPD.CHEX.PC.CD']]]</f>
        <v>6.4207022435501887E-2</v>
      </c>
      <c r="G259" s="4">
        <f>Table1[[#This Row],[Life expectancy at birth, total (years) '[SP.DYN.LE00.IN']]]/Table1[[#This Row],[Current health expenditure per capita (current US$) '[SH.XPD.CHEX.PC.CD']]]*1000</f>
        <v>64.207022435501884</v>
      </c>
    </row>
    <row r="260" spans="1:7" x14ac:dyDescent="0.25">
      <c r="A260" s="5" t="s">
        <v>65</v>
      </c>
      <c r="B260" s="6" t="s">
        <v>252</v>
      </c>
      <c r="C260" s="5">
        <v>2022</v>
      </c>
      <c r="D260" s="7">
        <v>1066.6918945299999</v>
      </c>
      <c r="E260" s="11">
        <v>74.160975609756107</v>
      </c>
      <c r="F260" s="10">
        <f>Table1[[#This Row],[Life expectancy at birth, total (years) '[SP.DYN.LE00.IN']]]/Table1[[#This Row],[Current health expenditure per capita (current US$) '[SH.XPD.CHEX.PC.CD']]]</f>
        <v>6.952427030715605E-2</v>
      </c>
      <c r="G260" s="4">
        <f>Table1[[#This Row],[Life expectancy at birth, total (years) '[SP.DYN.LE00.IN']]]/Table1[[#This Row],[Current health expenditure per capita (current US$) '[SH.XPD.CHEX.PC.CD']]]*1000</f>
        <v>69.524270307156044</v>
      </c>
    </row>
    <row r="261" spans="1:7" x14ac:dyDescent="0.25">
      <c r="A261" s="5" t="s">
        <v>65</v>
      </c>
      <c r="B261" s="6" t="s">
        <v>252</v>
      </c>
      <c r="C261" s="5">
        <v>2023</v>
      </c>
      <c r="D261" s="7">
        <v>1257.87597656</v>
      </c>
      <c r="E261" s="11">
        <v>75.707317073170728</v>
      </c>
      <c r="F261" s="10">
        <f>Table1[[#This Row],[Life expectancy at birth, total (years) '[SP.DYN.LE00.IN']]]/Table1[[#This Row],[Current health expenditure per capita (current US$) '[SH.XPD.CHEX.PC.CD']]]</f>
        <v>6.0186630863412097E-2</v>
      </c>
      <c r="G261" s="4">
        <f>Table1[[#This Row],[Life expectancy at birth, total (years) '[SP.DYN.LE00.IN']]]/Table1[[#This Row],[Current health expenditure per capita (current US$) '[SH.XPD.CHEX.PC.CD']]]*1000</f>
        <v>60.186630863412098</v>
      </c>
    </row>
    <row r="262" spans="1:7" hidden="1" x14ac:dyDescent="0.25">
      <c r="B262" s="1"/>
      <c r="D262" s="3"/>
      <c r="E262"/>
      <c r="F262" t="e">
        <f>Table1[[#This Row],[Life expectancy at birth, total (years) '[SP.DYN.LE00.IN']]]/Table1[[#This Row],[Current health expenditure per capita (current US$) '[SH.XPD.CHEX.PC.CD']]]</f>
        <v>#DIV/0!</v>
      </c>
      <c r="G262" s="2" t="e">
        <f>Table1[[#This Row],[Life expectancy at birth, total (years) '[SP.DYN.LE00.IN']]]/Table1[[#This Row],[Current health expenditure per capita (current US$) '[SH.XPD.CHEX.PC.CD']]]*1000</f>
        <v>#DIV/0!</v>
      </c>
    </row>
    <row r="263" spans="1:7" x14ac:dyDescent="0.25">
      <c r="A263" s="5" t="s">
        <v>211</v>
      </c>
      <c r="B263" s="6" t="s">
        <v>255</v>
      </c>
      <c r="C263" s="5">
        <v>2015</v>
      </c>
      <c r="D263" s="7">
        <v>32.337520599999998</v>
      </c>
      <c r="E263" s="11">
        <v>58.777999999999999</v>
      </c>
      <c r="F263" s="10">
        <f>Table1[[#This Row],[Life expectancy at birth, total (years) '[SP.DYN.LE00.IN']]]/Table1[[#This Row],[Current health expenditure per capita (current US$) '[SH.XPD.CHEX.PC.CD']]]</f>
        <v>1.8176408985418628</v>
      </c>
      <c r="G263" s="4">
        <f>Table1[[#This Row],[Life expectancy at birth, total (years) '[SP.DYN.LE00.IN']]]/Table1[[#This Row],[Current health expenditure per capita (current US$) '[SH.XPD.CHEX.PC.CD']]]*1000</f>
        <v>1817.6408985418627</v>
      </c>
    </row>
    <row r="264" spans="1:7" x14ac:dyDescent="0.25">
      <c r="A264" s="5" t="s">
        <v>211</v>
      </c>
      <c r="B264" s="6" t="s">
        <v>255</v>
      </c>
      <c r="C264" s="5">
        <v>2016</v>
      </c>
      <c r="D264" s="7">
        <v>39.509906770000001</v>
      </c>
      <c r="E264" s="11">
        <v>59.173000000000002</v>
      </c>
      <c r="F264" s="10">
        <f>Table1[[#This Row],[Life expectancy at birth, total (years) '[SP.DYN.LE00.IN']]]/Table1[[#This Row],[Current health expenditure per capita (current US$) '[SH.XPD.CHEX.PC.CD']]]</f>
        <v>1.4976750095733016</v>
      </c>
      <c r="G264" s="4">
        <f>Table1[[#This Row],[Life expectancy at birth, total (years) '[SP.DYN.LE00.IN']]]/Table1[[#This Row],[Current health expenditure per capita (current US$) '[SH.XPD.CHEX.PC.CD']]]*1000</f>
        <v>1497.6750095733016</v>
      </c>
    </row>
    <row r="265" spans="1:7" x14ac:dyDescent="0.25">
      <c r="A265" s="5" t="s">
        <v>211</v>
      </c>
      <c r="B265" s="6" t="s">
        <v>255</v>
      </c>
      <c r="C265" s="5">
        <v>2017</v>
      </c>
      <c r="D265" s="7">
        <v>43.377758030000003</v>
      </c>
      <c r="E265" s="11">
        <v>59.578000000000003</v>
      </c>
      <c r="F265" s="10">
        <f>Table1[[#This Row],[Life expectancy at birth, total (years) '[SP.DYN.LE00.IN']]]/Table1[[#This Row],[Current health expenditure per capita (current US$) '[SH.XPD.CHEX.PC.CD']]]</f>
        <v>1.3734688629780252</v>
      </c>
      <c r="G265" s="4">
        <f>Table1[[#This Row],[Life expectancy at birth, total (years) '[SP.DYN.LE00.IN']]]/Table1[[#This Row],[Current health expenditure per capita (current US$) '[SH.XPD.CHEX.PC.CD']]]*1000</f>
        <v>1373.4688629780251</v>
      </c>
    </row>
    <row r="266" spans="1:7" x14ac:dyDescent="0.25">
      <c r="A266" s="5" t="s">
        <v>211</v>
      </c>
      <c r="B266" s="6" t="s">
        <v>255</v>
      </c>
      <c r="C266" s="5">
        <v>2018</v>
      </c>
      <c r="D266" s="7">
        <v>38.485733029999999</v>
      </c>
      <c r="E266" s="11">
        <v>59.972000000000001</v>
      </c>
      <c r="F266" s="10">
        <f>Table1[[#This Row],[Life expectancy at birth, total (years) '[SP.DYN.LE00.IN']]]/Table1[[#This Row],[Current health expenditure per capita (current US$) '[SH.XPD.CHEX.PC.CD']]]</f>
        <v>1.5582917428973291</v>
      </c>
      <c r="G266" s="4">
        <f>Table1[[#This Row],[Life expectancy at birth, total (years) '[SP.DYN.LE00.IN']]]/Table1[[#This Row],[Current health expenditure per capita (current US$) '[SH.XPD.CHEX.PC.CD']]]*1000</f>
        <v>1558.2917428973292</v>
      </c>
    </row>
    <row r="267" spans="1:7" x14ac:dyDescent="0.25">
      <c r="A267" s="5" t="s">
        <v>211</v>
      </c>
      <c r="B267" s="6" t="s">
        <v>255</v>
      </c>
      <c r="C267" s="5">
        <v>2019</v>
      </c>
      <c r="D267" s="7">
        <v>41.068958279999997</v>
      </c>
      <c r="E267" s="11">
        <v>60.183999999999997</v>
      </c>
      <c r="F267" s="10">
        <f>Table1[[#This Row],[Life expectancy at birth, total (years) '[SP.DYN.LE00.IN']]]/Table1[[#This Row],[Current health expenditure per capita (current US$) '[SH.XPD.CHEX.PC.CD']]]</f>
        <v>1.4654377057649586</v>
      </c>
      <c r="G267" s="4">
        <f>Table1[[#This Row],[Life expectancy at birth, total (years) '[SP.DYN.LE00.IN']]]/Table1[[#This Row],[Current health expenditure per capita (current US$) '[SH.XPD.CHEX.PC.CD']]]*1000</f>
        <v>1465.4377057649585</v>
      </c>
    </row>
    <row r="268" spans="1:7" x14ac:dyDescent="0.25">
      <c r="A268" s="5" t="s">
        <v>211</v>
      </c>
      <c r="B268" s="6" t="s">
        <v>255</v>
      </c>
      <c r="C268" s="5">
        <v>2020</v>
      </c>
      <c r="D268" s="7">
        <v>57.175891880000002</v>
      </c>
      <c r="E268" s="11">
        <v>60.454000000000001</v>
      </c>
      <c r="F268" s="10">
        <f>Table1[[#This Row],[Life expectancy at birth, total (years) '[SP.DYN.LE00.IN']]]/Table1[[#This Row],[Current health expenditure per capita (current US$) '[SH.XPD.CHEX.PC.CD']]]</f>
        <v>1.057333747007918</v>
      </c>
      <c r="G268" s="4">
        <f>Table1[[#This Row],[Life expectancy at birth, total (years) '[SP.DYN.LE00.IN']]]/Table1[[#This Row],[Current health expenditure per capita (current US$) '[SH.XPD.CHEX.PC.CD']]]*1000</f>
        <v>1057.333747007918</v>
      </c>
    </row>
    <row r="269" spans="1:7" x14ac:dyDescent="0.25">
      <c r="A269" s="5" t="s">
        <v>211</v>
      </c>
      <c r="B269" s="6" t="s">
        <v>255</v>
      </c>
      <c r="C269" s="5">
        <v>2021</v>
      </c>
      <c r="D269" s="7">
        <v>63.591712950000002</v>
      </c>
      <c r="E269" s="11">
        <v>60.045999999999999</v>
      </c>
      <c r="F269" s="10">
        <f>Table1[[#This Row],[Life expectancy at birth, total (years) '[SP.DYN.LE00.IN']]]/Table1[[#This Row],[Current health expenditure per capita (current US$) '[SH.XPD.CHEX.PC.CD']]]</f>
        <v>0.94424253121176538</v>
      </c>
      <c r="G269" s="4">
        <f>Table1[[#This Row],[Life expectancy at birth, total (years) '[SP.DYN.LE00.IN']]]/Table1[[#This Row],[Current health expenditure per capita (current US$) '[SH.XPD.CHEX.PC.CD']]]*1000</f>
        <v>944.24253121176537</v>
      </c>
    </row>
    <row r="270" spans="1:7" x14ac:dyDescent="0.25">
      <c r="A270" s="5" t="s">
        <v>211</v>
      </c>
      <c r="B270" s="6" t="s">
        <v>255</v>
      </c>
      <c r="C270" s="5">
        <v>2022</v>
      </c>
      <c r="D270" s="7">
        <v>64.383399960000006</v>
      </c>
      <c r="E270" s="11">
        <v>60.7</v>
      </c>
      <c r="F270" s="10">
        <f>Table1[[#This Row],[Life expectancy at birth, total (years) '[SP.DYN.LE00.IN']]]/Table1[[#This Row],[Current health expenditure per capita (current US$) '[SH.XPD.CHEX.PC.CD']]]</f>
        <v>0.94278960163196701</v>
      </c>
      <c r="G270" s="4">
        <f>Table1[[#This Row],[Life expectancy at birth, total (years) '[SP.DYN.LE00.IN']]]/Table1[[#This Row],[Current health expenditure per capita (current US$) '[SH.XPD.CHEX.PC.CD']]]*1000</f>
        <v>942.789601631967</v>
      </c>
    </row>
    <row r="271" spans="1:7" x14ac:dyDescent="0.25">
      <c r="A271" s="5" t="s">
        <v>211</v>
      </c>
      <c r="B271" s="6" t="s">
        <v>255</v>
      </c>
      <c r="C271" s="5">
        <v>2023</v>
      </c>
      <c r="D271" s="7">
        <v>71.734550479999996</v>
      </c>
      <c r="E271" s="11">
        <v>61.091999999999999</v>
      </c>
      <c r="F271" s="10">
        <f>Table1[[#This Row],[Life expectancy at birth, total (years) '[SP.DYN.LE00.IN']]]/Table1[[#This Row],[Current health expenditure per capita (current US$) '[SH.XPD.CHEX.PC.CD']]]</f>
        <v>0.85163982475965749</v>
      </c>
      <c r="G271" s="4">
        <f>Table1[[#This Row],[Life expectancy at birth, total (years) '[SP.DYN.LE00.IN']]]/Table1[[#This Row],[Current health expenditure per capita (current US$) '[SH.XPD.CHEX.PC.CD']]]*1000</f>
        <v>851.63982475965747</v>
      </c>
    </row>
    <row r="272" spans="1:7" hidden="1" x14ac:dyDescent="0.25">
      <c r="B272" s="1"/>
      <c r="D272" s="3"/>
      <c r="E272"/>
      <c r="F272" t="e">
        <f>Table1[[#This Row],[Life expectancy at birth, total (years) '[SP.DYN.LE00.IN']]]/Table1[[#This Row],[Current health expenditure per capita (current US$) '[SH.XPD.CHEX.PC.CD']]]</f>
        <v>#DIV/0!</v>
      </c>
      <c r="G272" s="2" t="e">
        <f>Table1[[#This Row],[Life expectancy at birth, total (years) '[SP.DYN.LE00.IN']]]/Table1[[#This Row],[Current health expenditure per capita (current US$) '[SH.XPD.CHEX.PC.CD']]]*1000</f>
        <v>#DIV/0!</v>
      </c>
    </row>
    <row r="273" spans="1:7" x14ac:dyDescent="0.25">
      <c r="A273" s="5" t="s">
        <v>404</v>
      </c>
      <c r="B273" s="6" t="s">
        <v>154</v>
      </c>
      <c r="C273" s="5">
        <v>2015</v>
      </c>
      <c r="D273" s="7">
        <v>17.676290510000001</v>
      </c>
      <c r="E273" s="11">
        <v>60.106999999999999</v>
      </c>
      <c r="F273" s="10">
        <f>Table1[[#This Row],[Life expectancy at birth, total (years) '[SP.DYN.LE00.IN']]]/Table1[[#This Row],[Current health expenditure per capita (current US$) '[SH.XPD.CHEX.PC.CD']]]</f>
        <v>3.4004306483872107</v>
      </c>
      <c r="G273" s="4">
        <f>Table1[[#This Row],[Life expectancy at birth, total (years) '[SP.DYN.LE00.IN']]]/Table1[[#This Row],[Current health expenditure per capita (current US$) '[SH.XPD.CHEX.PC.CD']]]*1000</f>
        <v>3400.4306483872106</v>
      </c>
    </row>
    <row r="274" spans="1:7" x14ac:dyDescent="0.25">
      <c r="A274" s="5" t="s">
        <v>404</v>
      </c>
      <c r="B274" s="6" t="s">
        <v>154</v>
      </c>
      <c r="C274" s="5">
        <v>2016</v>
      </c>
      <c r="D274" s="7">
        <v>18.59472847</v>
      </c>
      <c r="E274" s="11">
        <v>60.789000000000001</v>
      </c>
      <c r="F274" s="10">
        <f>Table1[[#This Row],[Life expectancy at birth, total (years) '[SP.DYN.LE00.IN']]]/Table1[[#This Row],[Current health expenditure per capita (current US$) '[SH.XPD.CHEX.PC.CD']]]</f>
        <v>3.2691523351940619</v>
      </c>
      <c r="G274" s="4">
        <f>Table1[[#This Row],[Life expectancy at birth, total (years) '[SP.DYN.LE00.IN']]]/Table1[[#This Row],[Current health expenditure per capita (current US$) '[SH.XPD.CHEX.PC.CD']]]*1000</f>
        <v>3269.1523351940618</v>
      </c>
    </row>
    <row r="275" spans="1:7" x14ac:dyDescent="0.25">
      <c r="A275" s="5" t="s">
        <v>404</v>
      </c>
      <c r="B275" s="6" t="s">
        <v>154</v>
      </c>
      <c r="C275" s="5">
        <v>2017</v>
      </c>
      <c r="D275" s="7">
        <v>19.166765210000001</v>
      </c>
      <c r="E275" s="11">
        <v>61.344999999999999</v>
      </c>
      <c r="F275" s="10">
        <f>Table1[[#This Row],[Life expectancy at birth, total (years) '[SP.DYN.LE00.IN']]]/Table1[[#This Row],[Current health expenditure per capita (current US$) '[SH.XPD.CHEX.PC.CD']]]</f>
        <v>3.2005922401550615</v>
      </c>
      <c r="G275" s="4">
        <f>Table1[[#This Row],[Life expectancy at birth, total (years) '[SP.DYN.LE00.IN']]]/Table1[[#This Row],[Current health expenditure per capita (current US$) '[SH.XPD.CHEX.PC.CD']]]*1000</f>
        <v>3200.5922401550615</v>
      </c>
    </row>
    <row r="276" spans="1:7" x14ac:dyDescent="0.25">
      <c r="A276" s="5" t="s">
        <v>404</v>
      </c>
      <c r="B276" s="6" t="s">
        <v>154</v>
      </c>
      <c r="C276" s="5">
        <v>2018</v>
      </c>
      <c r="D276" s="7">
        <v>18.67819214</v>
      </c>
      <c r="E276" s="11">
        <v>61.805999999999997</v>
      </c>
      <c r="F276" s="10">
        <f>Table1[[#This Row],[Life expectancy at birth, total (years) '[SP.DYN.LE00.IN']]]/Table1[[#This Row],[Current health expenditure per capita (current US$) '[SH.XPD.CHEX.PC.CD']]]</f>
        <v>3.3089926228802566</v>
      </c>
      <c r="G276" s="4">
        <f>Table1[[#This Row],[Life expectancy at birth, total (years) '[SP.DYN.LE00.IN']]]/Table1[[#This Row],[Current health expenditure per capita (current US$) '[SH.XPD.CHEX.PC.CD']]]*1000</f>
        <v>3308.9926228802565</v>
      </c>
    </row>
    <row r="277" spans="1:7" x14ac:dyDescent="0.25">
      <c r="A277" s="5" t="s">
        <v>404</v>
      </c>
      <c r="B277" s="6" t="s">
        <v>154</v>
      </c>
      <c r="C277" s="5">
        <v>2019</v>
      </c>
      <c r="D277" s="7">
        <v>22.2435379</v>
      </c>
      <c r="E277" s="11">
        <v>62.18</v>
      </c>
      <c r="F277" s="10">
        <f>Table1[[#This Row],[Life expectancy at birth, total (years) '[SP.DYN.LE00.IN']]]/Table1[[#This Row],[Current health expenditure per capita (current US$) '[SH.XPD.CHEX.PC.CD']]]</f>
        <v>2.7954186190857704</v>
      </c>
      <c r="G277" s="4">
        <f>Table1[[#This Row],[Life expectancy at birth, total (years) '[SP.DYN.LE00.IN']]]/Table1[[#This Row],[Current health expenditure per capita (current US$) '[SH.XPD.CHEX.PC.CD']]]*1000</f>
        <v>2795.4186190857704</v>
      </c>
    </row>
    <row r="278" spans="1:7" x14ac:dyDescent="0.25">
      <c r="A278" s="5" t="s">
        <v>404</v>
      </c>
      <c r="B278" s="6" t="s">
        <v>154</v>
      </c>
      <c r="C278" s="5">
        <v>2020</v>
      </c>
      <c r="D278" s="7">
        <v>26.21934319</v>
      </c>
      <c r="E278" s="11">
        <v>62.569000000000003</v>
      </c>
      <c r="F278" s="10">
        <f>Table1[[#This Row],[Life expectancy at birth, total (years) '[SP.DYN.LE00.IN']]]/Table1[[#This Row],[Current health expenditure per capita (current US$) '[SH.XPD.CHEX.PC.CD']]]</f>
        <v>2.3863679401345066</v>
      </c>
      <c r="G278" s="4">
        <f>Table1[[#This Row],[Life expectancy at birth, total (years) '[SP.DYN.LE00.IN']]]/Table1[[#This Row],[Current health expenditure per capita (current US$) '[SH.XPD.CHEX.PC.CD']]]*1000</f>
        <v>2386.3679401345066</v>
      </c>
    </row>
    <row r="279" spans="1:7" x14ac:dyDescent="0.25">
      <c r="A279" s="5" t="s">
        <v>404</v>
      </c>
      <c r="B279" s="6" t="s">
        <v>154</v>
      </c>
      <c r="C279" s="5">
        <v>2021</v>
      </c>
      <c r="D279" s="7">
        <v>23.114200589999999</v>
      </c>
      <c r="E279" s="11">
        <v>62.100999999999999</v>
      </c>
      <c r="F279" s="10">
        <f>Table1[[#This Row],[Life expectancy at birth, total (years) '[SP.DYN.LE00.IN']]]/Table1[[#This Row],[Current health expenditure per capita (current US$) '[SH.XPD.CHEX.PC.CD']]]</f>
        <v>2.6867033431762737</v>
      </c>
      <c r="G279" s="4">
        <f>Table1[[#This Row],[Life expectancy at birth, total (years) '[SP.DYN.LE00.IN']]]/Table1[[#This Row],[Current health expenditure per capita (current US$) '[SH.XPD.CHEX.PC.CD']]]*1000</f>
        <v>2686.7033431762738</v>
      </c>
    </row>
    <row r="280" spans="1:7" x14ac:dyDescent="0.25">
      <c r="A280" s="5" t="s">
        <v>404</v>
      </c>
      <c r="B280" s="6" t="s">
        <v>154</v>
      </c>
      <c r="C280" s="5">
        <v>2022</v>
      </c>
      <c r="D280" s="7">
        <v>25.521551129999999</v>
      </c>
      <c r="E280" s="11">
        <v>62.881999999999998</v>
      </c>
      <c r="F280" s="10">
        <f>Table1[[#This Row],[Life expectancy at birth, total (years) '[SP.DYN.LE00.IN']]]/Table1[[#This Row],[Current health expenditure per capita (current US$) '[SH.XPD.CHEX.PC.CD']]]</f>
        <v>2.463878456277826</v>
      </c>
      <c r="G280" s="4">
        <f>Table1[[#This Row],[Life expectancy at birth, total (years) '[SP.DYN.LE00.IN']]]/Table1[[#This Row],[Current health expenditure per capita (current US$) '[SH.XPD.CHEX.PC.CD']]]*1000</f>
        <v>2463.878456277826</v>
      </c>
    </row>
    <row r="281" spans="1:7" x14ac:dyDescent="0.25">
      <c r="A281" s="5" t="s">
        <v>404</v>
      </c>
      <c r="B281" s="6" t="s">
        <v>154</v>
      </c>
      <c r="C281" s="5">
        <v>2023</v>
      </c>
      <c r="D281" s="7">
        <v>28.14028931</v>
      </c>
      <c r="E281" s="11">
        <v>63.651000000000003</v>
      </c>
      <c r="F281" s="10">
        <f>Table1[[#This Row],[Life expectancy at birth, total (years) '[SP.DYN.LE00.IN']]]/Table1[[#This Row],[Current health expenditure per capita (current US$) '[SH.XPD.CHEX.PC.CD']]]</f>
        <v>2.2619170435245253</v>
      </c>
      <c r="G281" s="4">
        <f>Table1[[#This Row],[Life expectancy at birth, total (years) '[SP.DYN.LE00.IN']]]/Table1[[#This Row],[Current health expenditure per capita (current US$) '[SH.XPD.CHEX.PC.CD']]]*1000</f>
        <v>2261.9170435245251</v>
      </c>
    </row>
    <row r="282" spans="1:7" hidden="1" x14ac:dyDescent="0.25">
      <c r="B282" s="1"/>
      <c r="D282" s="3"/>
      <c r="E282"/>
      <c r="F282" t="e">
        <f>Table1[[#This Row],[Life expectancy at birth, total (years) '[SP.DYN.LE00.IN']]]/Table1[[#This Row],[Current health expenditure per capita (current US$) '[SH.XPD.CHEX.PC.CD']]]</f>
        <v>#DIV/0!</v>
      </c>
      <c r="G282" s="2" t="e">
        <f>Table1[[#This Row],[Life expectancy at birth, total (years) '[SP.DYN.LE00.IN']]]/Table1[[#This Row],[Current health expenditure per capita (current US$) '[SH.XPD.CHEX.PC.CD']]]*1000</f>
        <v>#DIV/0!</v>
      </c>
    </row>
    <row r="283" spans="1:7" x14ac:dyDescent="0.25">
      <c r="A283" s="5" t="s">
        <v>166</v>
      </c>
      <c r="B283" s="6" t="s">
        <v>28</v>
      </c>
      <c r="C283" s="5">
        <v>2015</v>
      </c>
      <c r="D283" s="7">
        <v>150.28823853</v>
      </c>
      <c r="E283" s="11">
        <v>74.096000000000004</v>
      </c>
      <c r="F283" s="10">
        <f>Table1[[#This Row],[Life expectancy at birth, total (years) '[SP.DYN.LE00.IN']]]/Table1[[#This Row],[Current health expenditure per capita (current US$) '[SH.XPD.CHEX.PC.CD']]]</f>
        <v>0.49302593951960666</v>
      </c>
      <c r="G283" s="4">
        <f>Table1[[#This Row],[Life expectancy at birth, total (years) '[SP.DYN.LE00.IN']]]/Table1[[#This Row],[Current health expenditure per capita (current US$) '[SH.XPD.CHEX.PC.CD']]]*1000</f>
        <v>493.02593951960665</v>
      </c>
    </row>
    <row r="284" spans="1:7" x14ac:dyDescent="0.25">
      <c r="A284" s="5" t="s">
        <v>166</v>
      </c>
      <c r="B284" s="6" t="s">
        <v>28</v>
      </c>
      <c r="C284" s="5">
        <v>2016</v>
      </c>
      <c r="D284" s="7">
        <v>157.39906310999999</v>
      </c>
      <c r="E284" s="11">
        <v>74.349999999999994</v>
      </c>
      <c r="F284" s="10">
        <f>Table1[[#This Row],[Life expectancy at birth, total (years) '[SP.DYN.LE00.IN']]]/Table1[[#This Row],[Current health expenditure per capita (current US$) '[SH.XPD.CHEX.PC.CD']]]</f>
        <v>0.47236621699609305</v>
      </c>
      <c r="G284" s="4">
        <f>Table1[[#This Row],[Life expectancy at birth, total (years) '[SP.DYN.LE00.IN']]]/Table1[[#This Row],[Current health expenditure per capita (current US$) '[SH.XPD.CHEX.PC.CD']]]*1000</f>
        <v>472.36621699609304</v>
      </c>
    </row>
    <row r="285" spans="1:7" x14ac:dyDescent="0.25">
      <c r="A285" s="5" t="s">
        <v>166</v>
      </c>
      <c r="B285" s="6" t="s">
        <v>28</v>
      </c>
      <c r="C285" s="5">
        <v>2017</v>
      </c>
      <c r="D285" s="7">
        <v>174.43547057999999</v>
      </c>
      <c r="E285" s="11">
        <v>74.709999999999994</v>
      </c>
      <c r="F285" s="10">
        <f>Table1[[#This Row],[Life expectancy at birth, total (years) '[SP.DYN.LE00.IN']]]/Table1[[#This Row],[Current health expenditure per capita (current US$) '[SH.XPD.CHEX.PC.CD']]]</f>
        <v>0.42829591797808303</v>
      </c>
      <c r="G285" s="4">
        <f>Table1[[#This Row],[Life expectancy at birth, total (years) '[SP.DYN.LE00.IN']]]/Table1[[#This Row],[Current health expenditure per capita (current US$) '[SH.XPD.CHEX.PC.CD']]]*1000</f>
        <v>428.29591797808303</v>
      </c>
    </row>
    <row r="286" spans="1:7" x14ac:dyDescent="0.25">
      <c r="A286" s="5" t="s">
        <v>166</v>
      </c>
      <c r="B286" s="6" t="s">
        <v>28</v>
      </c>
      <c r="C286" s="5">
        <v>2018</v>
      </c>
      <c r="D286" s="7">
        <v>205.53454590000001</v>
      </c>
      <c r="E286" s="11">
        <v>74.84</v>
      </c>
      <c r="F286" s="10">
        <f>Table1[[#This Row],[Life expectancy at birth, total (years) '[SP.DYN.LE00.IN']]]/Table1[[#This Row],[Current health expenditure per capita (current US$) '[SH.XPD.CHEX.PC.CD']]]</f>
        <v>0.36412370325527843</v>
      </c>
      <c r="G286" s="4">
        <f>Table1[[#This Row],[Life expectancy at birth, total (years) '[SP.DYN.LE00.IN']]]/Table1[[#This Row],[Current health expenditure per capita (current US$) '[SH.XPD.CHEX.PC.CD']]]*1000</f>
        <v>364.12370325527843</v>
      </c>
    </row>
    <row r="287" spans="1:7" x14ac:dyDescent="0.25">
      <c r="A287" s="5" t="s">
        <v>166</v>
      </c>
      <c r="B287" s="6" t="s">
        <v>28</v>
      </c>
      <c r="C287" s="5">
        <v>2019</v>
      </c>
      <c r="D287" s="7">
        <v>211.24963378999999</v>
      </c>
      <c r="E287" s="11">
        <v>75.448999999999998</v>
      </c>
      <c r="F287" s="10">
        <f>Table1[[#This Row],[Life expectancy at birth, total (years) '[SP.DYN.LE00.IN']]]/Table1[[#This Row],[Current health expenditure per capita (current US$) '[SH.XPD.CHEX.PC.CD']]]</f>
        <v>0.35715564872885264</v>
      </c>
      <c r="G287" s="4">
        <f>Table1[[#This Row],[Life expectancy at birth, total (years) '[SP.DYN.LE00.IN']]]/Table1[[#This Row],[Current health expenditure per capita (current US$) '[SH.XPD.CHEX.PC.CD']]]*1000</f>
        <v>357.15564872885261</v>
      </c>
    </row>
    <row r="288" spans="1:7" x14ac:dyDescent="0.25">
      <c r="A288" s="5" t="s">
        <v>166</v>
      </c>
      <c r="B288" s="6" t="s">
        <v>28</v>
      </c>
      <c r="C288" s="5">
        <v>2020</v>
      </c>
      <c r="D288" s="7">
        <v>249.71989440999999</v>
      </c>
      <c r="E288" s="11">
        <v>73.817999999999998</v>
      </c>
      <c r="F288" s="10">
        <f>Table1[[#This Row],[Life expectancy at birth, total (years) '[SP.DYN.LE00.IN']]]/Table1[[#This Row],[Current health expenditure per capita (current US$) '[SH.XPD.CHEX.PC.CD']]]</f>
        <v>0.29560320043545546</v>
      </c>
      <c r="G288" s="4">
        <f>Table1[[#This Row],[Life expectancy at birth, total (years) '[SP.DYN.LE00.IN']]]/Table1[[#This Row],[Current health expenditure per capita (current US$) '[SH.XPD.CHEX.PC.CD']]]*1000</f>
        <v>295.60320043545545</v>
      </c>
    </row>
    <row r="289" spans="1:7" x14ac:dyDescent="0.25">
      <c r="A289" s="5" t="s">
        <v>166</v>
      </c>
      <c r="B289" s="6" t="s">
        <v>28</v>
      </c>
      <c r="C289" s="5">
        <v>2021</v>
      </c>
      <c r="D289" s="7">
        <v>262.42272948999999</v>
      </c>
      <c r="E289" s="11">
        <v>74.424000000000007</v>
      </c>
      <c r="F289" s="10">
        <f>Table1[[#This Row],[Life expectancy at birth, total (years) '[SP.DYN.LE00.IN']]]/Table1[[#This Row],[Current health expenditure per capita (current US$) '[SH.XPD.CHEX.PC.CD']]]</f>
        <v>0.28360348261233997</v>
      </c>
      <c r="G289" s="4">
        <f>Table1[[#This Row],[Life expectancy at birth, total (years) '[SP.DYN.LE00.IN']]]/Table1[[#This Row],[Current health expenditure per capita (current US$) '[SH.XPD.CHEX.PC.CD']]]*1000</f>
        <v>283.60348261233997</v>
      </c>
    </row>
    <row r="290" spans="1:7" x14ac:dyDescent="0.25">
      <c r="A290" s="5" t="s">
        <v>166</v>
      </c>
      <c r="B290" s="6" t="s">
        <v>28</v>
      </c>
      <c r="C290" s="5">
        <v>2022</v>
      </c>
      <c r="D290" s="7">
        <v>297.08233643</v>
      </c>
      <c r="E290" s="11">
        <v>75.906999999999996</v>
      </c>
      <c r="F290" s="10">
        <f>Table1[[#This Row],[Life expectancy at birth, total (years) '[SP.DYN.LE00.IN']]]/Table1[[#This Row],[Current health expenditure per capita (current US$) '[SH.XPD.CHEX.PC.CD']]]</f>
        <v>0.25550829077273524</v>
      </c>
      <c r="G290" s="4">
        <f>Table1[[#This Row],[Life expectancy at birth, total (years) '[SP.DYN.LE00.IN']]]/Table1[[#This Row],[Current health expenditure per capita (current US$) '[SH.XPD.CHEX.PC.CD']]]*1000</f>
        <v>255.50829077273522</v>
      </c>
    </row>
    <row r="291" spans="1:7" x14ac:dyDescent="0.25">
      <c r="A291" s="5" t="s">
        <v>166</v>
      </c>
      <c r="B291" s="6" t="s">
        <v>28</v>
      </c>
      <c r="C291" s="5">
        <v>2023</v>
      </c>
      <c r="D291" s="7">
        <v>290.12619018999999</v>
      </c>
      <c r="E291" s="11">
        <v>76.058999999999997</v>
      </c>
      <c r="F291" s="10">
        <f>Table1[[#This Row],[Life expectancy at birth, total (years) '[SP.DYN.LE00.IN']]]/Table1[[#This Row],[Current health expenditure per capita (current US$) '[SH.XPD.CHEX.PC.CD']]]</f>
        <v>0.26215833858428955</v>
      </c>
      <c r="G291" s="4">
        <f>Table1[[#This Row],[Life expectancy at birth, total (years) '[SP.DYN.LE00.IN']]]/Table1[[#This Row],[Current health expenditure per capita (current US$) '[SH.XPD.CHEX.PC.CD']]]*1000</f>
        <v>262.15833858428954</v>
      </c>
    </row>
    <row r="292" spans="1:7" hidden="1" x14ac:dyDescent="0.25">
      <c r="B292" s="1"/>
      <c r="D292" s="3"/>
      <c r="E292"/>
      <c r="F292" t="e">
        <f>Table1[[#This Row],[Life expectancy at birth, total (years) '[SP.DYN.LE00.IN']]]/Table1[[#This Row],[Current health expenditure per capita (current US$) '[SH.XPD.CHEX.PC.CD']]]</f>
        <v>#DIV/0!</v>
      </c>
      <c r="G292" s="2" t="e">
        <f>Table1[[#This Row],[Life expectancy at birth, total (years) '[SP.DYN.LE00.IN']]]/Table1[[#This Row],[Current health expenditure per capita (current US$) '[SH.XPD.CHEX.PC.CD']]]*1000</f>
        <v>#DIV/0!</v>
      </c>
    </row>
    <row r="293" spans="1:7" x14ac:dyDescent="0.25">
      <c r="A293" s="5" t="s">
        <v>197</v>
      </c>
      <c r="B293" s="6" t="s">
        <v>317</v>
      </c>
      <c r="C293" s="5">
        <v>2015</v>
      </c>
      <c r="D293" s="7">
        <v>70.23264313</v>
      </c>
      <c r="E293" s="11">
        <v>69.397999999999996</v>
      </c>
      <c r="F293" s="10">
        <f>Table1[[#This Row],[Life expectancy at birth, total (years) '[SP.DYN.LE00.IN']]]/Table1[[#This Row],[Current health expenditure per capita (current US$) '[SH.XPD.CHEX.PC.CD']]]</f>
        <v>0.98811602279505439</v>
      </c>
      <c r="G293" s="4">
        <f>Table1[[#This Row],[Life expectancy at birth, total (years) '[SP.DYN.LE00.IN']]]/Table1[[#This Row],[Current health expenditure per capita (current US$) '[SH.XPD.CHEX.PC.CD']]]*1000</f>
        <v>988.11602279505439</v>
      </c>
    </row>
    <row r="294" spans="1:7" x14ac:dyDescent="0.25">
      <c r="A294" s="5" t="s">
        <v>197</v>
      </c>
      <c r="B294" s="6" t="s">
        <v>317</v>
      </c>
      <c r="C294" s="5">
        <v>2016</v>
      </c>
      <c r="D294" s="7">
        <v>75.225204469999994</v>
      </c>
      <c r="E294" s="11">
        <v>69.635000000000005</v>
      </c>
      <c r="F294" s="10">
        <f>Table1[[#This Row],[Life expectancy at birth, total (years) '[SP.DYN.LE00.IN']]]/Table1[[#This Row],[Current health expenditure per capita (current US$) '[SH.XPD.CHEX.PC.CD']]]</f>
        <v>0.92568708175157732</v>
      </c>
      <c r="G294" s="4">
        <f>Table1[[#This Row],[Life expectancy at birth, total (years) '[SP.DYN.LE00.IN']]]/Table1[[#This Row],[Current health expenditure per capita (current US$) '[SH.XPD.CHEX.PC.CD']]]*1000</f>
        <v>925.68708175157735</v>
      </c>
    </row>
    <row r="295" spans="1:7" x14ac:dyDescent="0.25">
      <c r="A295" s="5" t="s">
        <v>197</v>
      </c>
      <c r="B295" s="6" t="s">
        <v>317</v>
      </c>
      <c r="C295" s="5">
        <v>2017</v>
      </c>
      <c r="D295" s="7">
        <v>77.973114010000003</v>
      </c>
      <c r="E295" s="11">
        <v>69.841999999999999</v>
      </c>
      <c r="F295" s="10">
        <f>Table1[[#This Row],[Life expectancy at birth, total (years) '[SP.DYN.LE00.IN']]]/Table1[[#This Row],[Current health expenditure per capita (current US$) '[SH.XPD.CHEX.PC.CD']]]</f>
        <v>0.89571900374586555</v>
      </c>
      <c r="G295" s="4">
        <f>Table1[[#This Row],[Life expectancy at birth, total (years) '[SP.DYN.LE00.IN']]]/Table1[[#This Row],[Current health expenditure per capita (current US$) '[SH.XPD.CHEX.PC.CD']]]*1000</f>
        <v>895.71900374586551</v>
      </c>
    </row>
    <row r="296" spans="1:7" x14ac:dyDescent="0.25">
      <c r="A296" s="5" t="s">
        <v>197</v>
      </c>
      <c r="B296" s="6" t="s">
        <v>317</v>
      </c>
      <c r="C296" s="5">
        <v>2018</v>
      </c>
      <c r="D296" s="7">
        <v>91.59080505</v>
      </c>
      <c r="E296" s="11">
        <v>69.992999999999995</v>
      </c>
      <c r="F296" s="10">
        <f>Table1[[#This Row],[Life expectancy at birth, total (years) '[SP.DYN.LE00.IN']]]/Table1[[#This Row],[Current health expenditure per capita (current US$) '[SH.XPD.CHEX.PC.CD']]]</f>
        <v>0.76419243134494097</v>
      </c>
      <c r="G296" s="4">
        <f>Table1[[#This Row],[Life expectancy at birth, total (years) '[SP.DYN.LE00.IN']]]/Table1[[#This Row],[Current health expenditure per capita (current US$) '[SH.XPD.CHEX.PC.CD']]]*1000</f>
        <v>764.19243134494093</v>
      </c>
    </row>
    <row r="297" spans="1:7" x14ac:dyDescent="0.25">
      <c r="A297" s="5" t="s">
        <v>197</v>
      </c>
      <c r="B297" s="6" t="s">
        <v>317</v>
      </c>
      <c r="C297" s="5">
        <v>2019</v>
      </c>
      <c r="D297" s="7">
        <v>112.5851059</v>
      </c>
      <c r="E297" s="11">
        <v>70.126999999999995</v>
      </c>
      <c r="F297" s="10">
        <f>Table1[[#This Row],[Life expectancy at birth, total (years) '[SP.DYN.LE00.IN']]]/Table1[[#This Row],[Current health expenditure per capita (current US$) '[SH.XPD.CHEX.PC.CD']]]</f>
        <v>0.62287990440128005</v>
      </c>
      <c r="G297" s="4">
        <f>Table1[[#This Row],[Life expectancy at birth, total (years) '[SP.DYN.LE00.IN']]]/Table1[[#This Row],[Current health expenditure per capita (current US$) '[SH.XPD.CHEX.PC.CD']]]*1000</f>
        <v>622.8799044012801</v>
      </c>
    </row>
    <row r="298" spans="1:7" x14ac:dyDescent="0.25">
      <c r="A298" s="5" t="s">
        <v>197</v>
      </c>
      <c r="B298" s="6" t="s">
        <v>317</v>
      </c>
      <c r="C298" s="5">
        <v>2020</v>
      </c>
      <c r="D298" s="7">
        <v>106.79976653999999</v>
      </c>
      <c r="E298" s="11">
        <v>70.058999999999997</v>
      </c>
      <c r="F298" s="10">
        <f>Table1[[#This Row],[Life expectancy at birth, total (years) '[SP.DYN.LE00.IN']]]/Table1[[#This Row],[Current health expenditure per capita (current US$) '[SH.XPD.CHEX.PC.CD']]]</f>
        <v>0.65598458002022519</v>
      </c>
      <c r="G298" s="4">
        <f>Table1[[#This Row],[Life expectancy at birth, total (years) '[SP.DYN.LE00.IN']]]/Table1[[#This Row],[Current health expenditure per capita (current US$) '[SH.XPD.CHEX.PC.CD']]]*1000</f>
        <v>655.98458002022517</v>
      </c>
    </row>
    <row r="299" spans="1:7" x14ac:dyDescent="0.25">
      <c r="A299" s="5" t="s">
        <v>197</v>
      </c>
      <c r="B299" s="6" t="s">
        <v>317</v>
      </c>
      <c r="C299" s="5">
        <v>2021</v>
      </c>
      <c r="D299" s="7">
        <v>137.38909912</v>
      </c>
      <c r="E299" s="11">
        <v>69.301000000000002</v>
      </c>
      <c r="F299" s="10">
        <f>Table1[[#This Row],[Life expectancy at birth, total (years) '[SP.DYN.LE00.IN']]]/Table1[[#This Row],[Current health expenditure per capita (current US$) '[SH.XPD.CHEX.PC.CD']]]</f>
        <v>0.50441410886223448</v>
      </c>
      <c r="G299" s="4">
        <f>Table1[[#This Row],[Life expectancy at birth, total (years) '[SP.DYN.LE00.IN']]]/Table1[[#This Row],[Current health expenditure per capita (current US$) '[SH.XPD.CHEX.PC.CD']]]*1000</f>
        <v>504.41410886223446</v>
      </c>
    </row>
    <row r="300" spans="1:7" x14ac:dyDescent="0.25">
      <c r="A300" s="5" t="s">
        <v>197</v>
      </c>
      <c r="B300" s="6" t="s">
        <v>317</v>
      </c>
      <c r="C300" s="5">
        <v>2022</v>
      </c>
      <c r="D300" s="7">
        <v>103.89541626</v>
      </c>
      <c r="E300" s="11">
        <v>70.528000000000006</v>
      </c>
      <c r="F300" s="10">
        <f>Table1[[#This Row],[Life expectancy at birth, total (years) '[SP.DYN.LE00.IN']]]/Table1[[#This Row],[Current health expenditure per capita (current US$) '[SH.XPD.CHEX.PC.CD']]]</f>
        <v>0.67883649287763104</v>
      </c>
      <c r="G300" s="4">
        <f>Table1[[#This Row],[Life expectancy at birth, total (years) '[SP.DYN.LE00.IN']]]/Table1[[#This Row],[Current health expenditure per capita (current US$) '[SH.XPD.CHEX.PC.CD']]]*1000</f>
        <v>678.83649287763103</v>
      </c>
    </row>
    <row r="301" spans="1:7" x14ac:dyDescent="0.25">
      <c r="A301" s="5" t="s">
        <v>197</v>
      </c>
      <c r="B301" s="6" t="s">
        <v>317</v>
      </c>
      <c r="C301" s="5">
        <v>2023</v>
      </c>
      <c r="D301" s="7">
        <v>114.56295776</v>
      </c>
      <c r="E301" s="11">
        <v>70.668000000000006</v>
      </c>
      <c r="F301" s="10">
        <f>Table1[[#This Row],[Life expectancy at birth, total (years) '[SP.DYN.LE00.IN']]]/Table1[[#This Row],[Current health expenditure per capita (current US$) '[SH.XPD.CHEX.PC.CD']]]</f>
        <v>0.61684859907373957</v>
      </c>
      <c r="G301" s="4">
        <f>Table1[[#This Row],[Life expectancy at birth, total (years) '[SP.DYN.LE00.IN']]]/Table1[[#This Row],[Current health expenditure per capita (current US$) '[SH.XPD.CHEX.PC.CD']]]*1000</f>
        <v>616.84859907373959</v>
      </c>
    </row>
    <row r="302" spans="1:7" hidden="1" x14ac:dyDescent="0.25">
      <c r="B302" s="1"/>
      <c r="D302" s="3"/>
      <c r="E302"/>
      <c r="F302" t="e">
        <f>Table1[[#This Row],[Life expectancy at birth, total (years) '[SP.DYN.LE00.IN']]]/Table1[[#This Row],[Current health expenditure per capita (current US$) '[SH.XPD.CHEX.PC.CD']]]</f>
        <v>#DIV/0!</v>
      </c>
      <c r="G302" s="2" t="e">
        <f>Table1[[#This Row],[Life expectancy at birth, total (years) '[SP.DYN.LE00.IN']]]/Table1[[#This Row],[Current health expenditure per capita (current US$) '[SH.XPD.CHEX.PC.CD']]]*1000</f>
        <v>#DIV/0!</v>
      </c>
    </row>
    <row r="303" spans="1:7" x14ac:dyDescent="0.25">
      <c r="A303" s="5" t="s">
        <v>70</v>
      </c>
      <c r="B303" s="6" t="s">
        <v>172</v>
      </c>
      <c r="C303" s="5">
        <v>2015</v>
      </c>
      <c r="D303" s="7">
        <v>58.382980349999997</v>
      </c>
      <c r="E303" s="11">
        <v>59.686999999999998</v>
      </c>
      <c r="F303" s="10">
        <f>Table1[[#This Row],[Life expectancy at birth, total (years) '[SP.DYN.LE00.IN']]]/Table1[[#This Row],[Current health expenditure per capita (current US$) '[SH.XPD.CHEX.PC.CD']]]</f>
        <v>1.0223356129163419</v>
      </c>
      <c r="G303" s="4">
        <f>Table1[[#This Row],[Life expectancy at birth, total (years) '[SP.DYN.LE00.IN']]]/Table1[[#This Row],[Current health expenditure per capita (current US$) '[SH.XPD.CHEX.PC.CD']]]*1000</f>
        <v>1022.3356129163419</v>
      </c>
    </row>
    <row r="304" spans="1:7" x14ac:dyDescent="0.25">
      <c r="A304" s="5" t="s">
        <v>70</v>
      </c>
      <c r="B304" s="6" t="s">
        <v>172</v>
      </c>
      <c r="C304" s="5">
        <v>2016</v>
      </c>
      <c r="D304" s="7">
        <v>57.993724819999997</v>
      </c>
      <c r="E304" s="11">
        <v>60.292999999999999</v>
      </c>
      <c r="F304" s="10">
        <f>Table1[[#This Row],[Life expectancy at birth, total (years) '[SP.DYN.LE00.IN']]]/Table1[[#This Row],[Current health expenditure per capita (current US$) '[SH.XPD.CHEX.PC.CD']]]</f>
        <v>1.0396469650317592</v>
      </c>
      <c r="G304" s="4">
        <f>Table1[[#This Row],[Life expectancy at birth, total (years) '[SP.DYN.LE00.IN']]]/Table1[[#This Row],[Current health expenditure per capita (current US$) '[SH.XPD.CHEX.PC.CD']]]*1000</f>
        <v>1039.6469650317592</v>
      </c>
    </row>
    <row r="305" spans="1:7" x14ac:dyDescent="0.25">
      <c r="A305" s="5" t="s">
        <v>70</v>
      </c>
      <c r="B305" s="6" t="s">
        <v>172</v>
      </c>
      <c r="C305" s="5">
        <v>2017</v>
      </c>
      <c r="D305" s="7">
        <v>56.745769500000002</v>
      </c>
      <c r="E305" s="11">
        <v>60.817</v>
      </c>
      <c r="F305" s="10">
        <f>Table1[[#This Row],[Life expectancy at birth, total (years) '[SP.DYN.LE00.IN']]]/Table1[[#This Row],[Current health expenditure per capita (current US$) '[SH.XPD.CHEX.PC.CD']]]</f>
        <v>1.0717450928214129</v>
      </c>
      <c r="G305" s="4">
        <f>Table1[[#This Row],[Life expectancy at birth, total (years) '[SP.DYN.LE00.IN']]]/Table1[[#This Row],[Current health expenditure per capita (current US$) '[SH.XPD.CHEX.PC.CD']]]*1000</f>
        <v>1071.745092821413</v>
      </c>
    </row>
    <row r="306" spans="1:7" x14ac:dyDescent="0.25">
      <c r="A306" s="5" t="s">
        <v>70</v>
      </c>
      <c r="B306" s="6" t="s">
        <v>172</v>
      </c>
      <c r="C306" s="5">
        <v>2018</v>
      </c>
      <c r="D306" s="7">
        <v>58.329093929999999</v>
      </c>
      <c r="E306" s="11">
        <v>61.189</v>
      </c>
      <c r="F306" s="10">
        <f>Table1[[#This Row],[Life expectancy at birth, total (years) '[SP.DYN.LE00.IN']]]/Table1[[#This Row],[Current health expenditure per capita (current US$) '[SH.XPD.CHEX.PC.CD']]]</f>
        <v>1.049030524517184</v>
      </c>
      <c r="G306" s="4">
        <f>Table1[[#This Row],[Life expectancy at birth, total (years) '[SP.DYN.LE00.IN']]]/Table1[[#This Row],[Current health expenditure per capita (current US$) '[SH.XPD.CHEX.PC.CD']]]*1000</f>
        <v>1049.0305245171839</v>
      </c>
    </row>
    <row r="307" spans="1:7" x14ac:dyDescent="0.25">
      <c r="A307" s="5" t="s">
        <v>70</v>
      </c>
      <c r="B307" s="6" t="s">
        <v>172</v>
      </c>
      <c r="C307" s="5">
        <v>2019</v>
      </c>
      <c r="D307" s="7">
        <v>56.794937130000001</v>
      </c>
      <c r="E307" s="11">
        <v>61.695</v>
      </c>
      <c r="F307" s="10">
        <f>Table1[[#This Row],[Life expectancy at birth, total (years) '[SP.DYN.LE00.IN']]]/Table1[[#This Row],[Current health expenditure per capita (current US$) '[SH.XPD.CHEX.PC.CD']]]</f>
        <v>1.086276402750197</v>
      </c>
      <c r="G307" s="4">
        <f>Table1[[#This Row],[Life expectancy at birth, total (years) '[SP.DYN.LE00.IN']]]/Table1[[#This Row],[Current health expenditure per capita (current US$) '[SH.XPD.CHEX.PC.CD']]]*1000</f>
        <v>1086.2764027501969</v>
      </c>
    </row>
    <row r="308" spans="1:7" x14ac:dyDescent="0.25">
      <c r="A308" s="5" t="s">
        <v>70</v>
      </c>
      <c r="B308" s="6" t="s">
        <v>172</v>
      </c>
      <c r="C308" s="5">
        <v>2020</v>
      </c>
      <c r="D308" s="7">
        <v>66.171852110000003</v>
      </c>
      <c r="E308" s="11">
        <v>61.673999999999999</v>
      </c>
      <c r="F308" s="10">
        <f>Table1[[#This Row],[Life expectancy at birth, total (years) '[SP.DYN.LE00.IN']]]/Table1[[#This Row],[Current health expenditure per capita (current US$) '[SH.XPD.CHEX.PC.CD']]]</f>
        <v>0.93202771319558875</v>
      </c>
      <c r="G308" s="4">
        <f>Table1[[#This Row],[Life expectancy at birth, total (years) '[SP.DYN.LE00.IN']]]/Table1[[#This Row],[Current health expenditure per capita (current US$) '[SH.XPD.CHEX.PC.CD']]]*1000</f>
        <v>932.02771319558872</v>
      </c>
    </row>
    <row r="309" spans="1:7" x14ac:dyDescent="0.25">
      <c r="A309" s="5" t="s">
        <v>70</v>
      </c>
      <c r="B309" s="6" t="s">
        <v>172</v>
      </c>
      <c r="C309" s="5">
        <v>2021</v>
      </c>
      <c r="D309" s="7">
        <v>72.597312930000001</v>
      </c>
      <c r="E309" s="11">
        <v>61.146000000000001</v>
      </c>
      <c r="F309" s="10">
        <f>Table1[[#This Row],[Life expectancy at birth, total (years) '[SP.DYN.LE00.IN']]]/Table1[[#This Row],[Current health expenditure per capita (current US$) '[SH.XPD.CHEX.PC.CD']]]</f>
        <v>0.84226257876732136</v>
      </c>
      <c r="G309" s="4">
        <f>Table1[[#This Row],[Life expectancy at birth, total (years) '[SP.DYN.LE00.IN']]]/Table1[[#This Row],[Current health expenditure per capita (current US$) '[SH.XPD.CHEX.PC.CD']]]*1000</f>
        <v>842.26257876732132</v>
      </c>
    </row>
    <row r="310" spans="1:7" x14ac:dyDescent="0.25">
      <c r="A310" s="5" t="s">
        <v>70</v>
      </c>
      <c r="B310" s="6" t="s">
        <v>172</v>
      </c>
      <c r="C310" s="5">
        <v>2022</v>
      </c>
      <c r="D310" s="7">
        <v>72.129508970000003</v>
      </c>
      <c r="E310" s="11">
        <v>62.442999999999998</v>
      </c>
      <c r="F310" s="10">
        <f>Table1[[#This Row],[Life expectancy at birth, total (years) '[SP.DYN.LE00.IN']]]/Table1[[#This Row],[Current health expenditure per capita (current US$) '[SH.XPD.CHEX.PC.CD']]]</f>
        <v>0.86570671132630606</v>
      </c>
      <c r="G310" s="4">
        <f>Table1[[#This Row],[Life expectancy at birth, total (years) '[SP.DYN.LE00.IN']]]/Table1[[#This Row],[Current health expenditure per capita (current US$) '[SH.XPD.CHEX.PC.CD']]]*1000</f>
        <v>865.70671132630605</v>
      </c>
    </row>
    <row r="311" spans="1:7" x14ac:dyDescent="0.25">
      <c r="A311" s="5" t="s">
        <v>70</v>
      </c>
      <c r="B311" s="6" t="s">
        <v>172</v>
      </c>
      <c r="C311" s="5">
        <v>2023</v>
      </c>
      <c r="D311" s="7">
        <v>79.099967960000001</v>
      </c>
      <c r="E311" s="11">
        <v>63.7</v>
      </c>
      <c r="F311" s="10">
        <f>Table1[[#This Row],[Life expectancy at birth, total (years) '[SP.DYN.LE00.IN']]]/Table1[[#This Row],[Current health expenditure per capita (current US$) '[SH.XPD.CHEX.PC.CD']]]</f>
        <v>0.80531006070966304</v>
      </c>
      <c r="G311" s="4">
        <f>Table1[[#This Row],[Life expectancy at birth, total (years) '[SP.DYN.LE00.IN']]]/Table1[[#This Row],[Current health expenditure per capita (current US$) '[SH.XPD.CHEX.PC.CD']]]*1000</f>
        <v>805.31006070966305</v>
      </c>
    </row>
    <row r="312" spans="1:7" hidden="1" x14ac:dyDescent="0.25">
      <c r="B312" s="1"/>
      <c r="D312" s="3"/>
      <c r="E312"/>
      <c r="F312" t="e">
        <f>Table1[[#This Row],[Life expectancy at birth, total (years) '[SP.DYN.LE00.IN']]]/Table1[[#This Row],[Current health expenditure per capita (current US$) '[SH.XPD.CHEX.PC.CD']]]</f>
        <v>#DIV/0!</v>
      </c>
      <c r="G312" s="2" t="e">
        <f>Table1[[#This Row],[Life expectancy at birth, total (years) '[SP.DYN.LE00.IN']]]/Table1[[#This Row],[Current health expenditure per capita (current US$) '[SH.XPD.CHEX.PC.CD']]]*1000</f>
        <v>#DIV/0!</v>
      </c>
    </row>
    <row r="313" spans="1:7" x14ac:dyDescent="0.25">
      <c r="A313" s="5" t="s">
        <v>310</v>
      </c>
      <c r="B313" s="6" t="s">
        <v>99</v>
      </c>
      <c r="C313" s="5">
        <v>2015</v>
      </c>
      <c r="D313" s="7">
        <v>4658.8378906300004</v>
      </c>
      <c r="E313" s="11">
        <v>81.825853658536587</v>
      </c>
      <c r="F313" s="10">
        <f>Table1[[#This Row],[Life expectancy at birth, total (years) '[SP.DYN.LE00.IN']]]/Table1[[#This Row],[Current health expenditure per capita (current US$) '[SH.XPD.CHEX.PC.CD']]]</f>
        <v>1.7563576063272621E-2</v>
      </c>
      <c r="G313" s="4">
        <f>Table1[[#This Row],[Life expectancy at birth, total (years) '[SP.DYN.LE00.IN']]]/Table1[[#This Row],[Current health expenditure per capita (current US$) '[SH.XPD.CHEX.PC.CD']]]*1000</f>
        <v>17.56357606327262</v>
      </c>
    </row>
    <row r="314" spans="1:7" x14ac:dyDescent="0.25">
      <c r="A314" s="5" t="s">
        <v>310</v>
      </c>
      <c r="B314" s="6" t="s">
        <v>99</v>
      </c>
      <c r="C314" s="5">
        <v>2016</v>
      </c>
      <c r="D314" s="7">
        <v>4647.1489257800004</v>
      </c>
      <c r="E314" s="11">
        <v>81.940000000000012</v>
      </c>
      <c r="F314" s="10">
        <f>Table1[[#This Row],[Life expectancy at birth, total (years) '[SP.DYN.LE00.IN']]]/Table1[[#This Row],[Current health expenditure per capita (current US$) '[SH.XPD.CHEX.PC.CD']]]</f>
        <v>1.7632316353245941E-2</v>
      </c>
      <c r="G314" s="4">
        <f>Table1[[#This Row],[Life expectancy at birth, total (years) '[SP.DYN.LE00.IN']]]/Table1[[#This Row],[Current health expenditure per capita (current US$) '[SH.XPD.CHEX.PC.CD']]]*1000</f>
        <v>17.63231635324594</v>
      </c>
    </row>
    <row r="315" spans="1:7" x14ac:dyDescent="0.25">
      <c r="A315" s="5" t="s">
        <v>310</v>
      </c>
      <c r="B315" s="6" t="s">
        <v>99</v>
      </c>
      <c r="C315" s="5">
        <v>2017</v>
      </c>
      <c r="D315" s="7">
        <v>4894.7734375</v>
      </c>
      <c r="E315" s="11">
        <v>81.812926829268292</v>
      </c>
      <c r="F315" s="10">
        <f>Table1[[#This Row],[Life expectancy at birth, total (years) '[SP.DYN.LE00.IN']]]/Table1[[#This Row],[Current health expenditure per capita (current US$) '[SH.XPD.CHEX.PC.CD']]]</f>
        <v>1.6714343957675425E-2</v>
      </c>
      <c r="G315" s="4">
        <f>Table1[[#This Row],[Life expectancy at birth, total (years) '[SP.DYN.LE00.IN']]]/Table1[[#This Row],[Current health expenditure per capita (current US$) '[SH.XPD.CHEX.PC.CD']]]*1000</f>
        <v>16.714343957675425</v>
      </c>
    </row>
    <row r="316" spans="1:7" x14ac:dyDescent="0.25">
      <c r="A316" s="5" t="s">
        <v>310</v>
      </c>
      <c r="B316" s="6" t="s">
        <v>99</v>
      </c>
      <c r="C316" s="5">
        <v>2018</v>
      </c>
      <c r="D316" s="7">
        <v>5052.9018554699996</v>
      </c>
      <c r="E316" s="11">
        <v>81.808780487804881</v>
      </c>
      <c r="F316" s="10">
        <f>Table1[[#This Row],[Life expectancy at birth, total (years) '[SP.DYN.LE00.IN']]]/Table1[[#This Row],[Current health expenditure per capita (current US$) '[SH.XPD.CHEX.PC.CD']]]</f>
        <v>1.6190455074690021E-2</v>
      </c>
      <c r="G316" s="4">
        <f>Table1[[#This Row],[Life expectancy at birth, total (years) '[SP.DYN.LE00.IN']]]/Table1[[#This Row],[Current health expenditure per capita (current US$) '[SH.XPD.CHEX.PC.CD']]]*1000</f>
        <v>16.190455074690021</v>
      </c>
    </row>
    <row r="317" spans="1:7" x14ac:dyDescent="0.25">
      <c r="A317" s="5" t="s">
        <v>310</v>
      </c>
      <c r="B317" s="6" t="s">
        <v>99</v>
      </c>
      <c r="C317" s="5">
        <v>2019</v>
      </c>
      <c r="D317" s="7">
        <v>5098.8872070300004</v>
      </c>
      <c r="E317" s="11">
        <v>82.163658536585373</v>
      </c>
      <c r="F317" s="10">
        <f>Table1[[#This Row],[Life expectancy at birth, total (years) '[SP.DYN.LE00.IN']]]/Table1[[#This Row],[Current health expenditure per capita (current US$) '[SH.XPD.CHEX.PC.CD']]]</f>
        <v>1.6114037279213331E-2</v>
      </c>
      <c r="G317" s="4">
        <f>Table1[[#This Row],[Life expectancy at birth, total (years) '[SP.DYN.LE00.IN']]]/Table1[[#This Row],[Current health expenditure per capita (current US$) '[SH.XPD.CHEX.PC.CD']]]*1000</f>
        <v>16.114037279213331</v>
      </c>
    </row>
    <row r="318" spans="1:7" x14ac:dyDescent="0.25">
      <c r="A318" s="5" t="s">
        <v>310</v>
      </c>
      <c r="B318" s="6" t="s">
        <v>99</v>
      </c>
      <c r="C318" s="5">
        <v>2020</v>
      </c>
      <c r="D318" s="7">
        <v>5646.1943359400002</v>
      </c>
      <c r="E318" s="11">
        <v>81.535121951219509</v>
      </c>
      <c r="F318" s="10">
        <f>Table1[[#This Row],[Life expectancy at birth, total (years) '[SP.DYN.LE00.IN']]]/Table1[[#This Row],[Current health expenditure per capita (current US$) '[SH.XPD.CHEX.PC.CD']]]</f>
        <v>1.4440721856174869E-2</v>
      </c>
      <c r="G318" s="4">
        <f>Table1[[#This Row],[Life expectancy at birth, total (years) '[SP.DYN.LE00.IN']]]/Table1[[#This Row],[Current health expenditure per capita (current US$) '[SH.XPD.CHEX.PC.CD']]]*1000</f>
        <v>14.44072185617487</v>
      </c>
    </row>
    <row r="319" spans="1:7" x14ac:dyDescent="0.25">
      <c r="A319" s="5" t="s">
        <v>310</v>
      </c>
      <c r="B319" s="6" t="s">
        <v>99</v>
      </c>
      <c r="C319" s="5">
        <v>2021</v>
      </c>
      <c r="D319" s="7">
        <v>6511.4697265599998</v>
      </c>
      <c r="E319" s="11">
        <v>81.516829268292682</v>
      </c>
      <c r="F319" s="10">
        <f>Table1[[#This Row],[Life expectancy at birth, total (years) '[SP.DYN.LE00.IN']]]/Table1[[#This Row],[Current health expenditure per capita (current US$) '[SH.XPD.CHEX.PC.CD']]]</f>
        <v>1.2518960033829091E-2</v>
      </c>
      <c r="G319" s="4">
        <f>Table1[[#This Row],[Life expectancy at birth, total (years) '[SP.DYN.LE00.IN']]]/Table1[[#This Row],[Current health expenditure per capita (current US$) '[SH.XPD.CHEX.PC.CD']]]*1000</f>
        <v>12.518960033829092</v>
      </c>
    </row>
    <row r="320" spans="1:7" x14ac:dyDescent="0.25">
      <c r="A320" s="5" t="s">
        <v>310</v>
      </c>
      <c r="B320" s="6" t="s">
        <v>99</v>
      </c>
      <c r="C320" s="5">
        <v>2022</v>
      </c>
      <c r="D320" s="7">
        <v>6252.3403320300004</v>
      </c>
      <c r="E320" s="11">
        <v>81.245365853658541</v>
      </c>
      <c r="F320" s="10">
        <f>Table1[[#This Row],[Life expectancy at birth, total (years) '[SP.DYN.LE00.IN']]]/Table1[[#This Row],[Current health expenditure per capita (current US$) '[SH.XPD.CHEX.PC.CD']]]</f>
        <v>1.2994392745616892E-2</v>
      </c>
      <c r="G320" s="4">
        <f>Table1[[#This Row],[Life expectancy at birth, total (years) '[SP.DYN.LE00.IN']]]/Table1[[#This Row],[Current health expenditure per capita (current US$) '[SH.XPD.CHEX.PC.CD']]]*1000</f>
        <v>12.994392745616892</v>
      </c>
    </row>
    <row r="321" spans="1:7" x14ac:dyDescent="0.25">
      <c r="A321" s="5" t="s">
        <v>310</v>
      </c>
      <c r="B321" s="6" t="s">
        <v>99</v>
      </c>
      <c r="C321" s="5">
        <v>2023</v>
      </c>
      <c r="D321" s="7">
        <v>6186.65234375</v>
      </c>
      <c r="E321" s="11">
        <v>81.646585365853653</v>
      </c>
      <c r="F321" s="10">
        <f>Table1[[#This Row],[Life expectancy at birth, total (years) '[SP.DYN.LE00.IN']]]/Table1[[#This Row],[Current health expenditure per capita (current US$) '[SH.XPD.CHEX.PC.CD']]]</f>
        <v>1.3197215687792163E-2</v>
      </c>
      <c r="G321" s="4">
        <f>Table1[[#This Row],[Life expectancy at birth, total (years) '[SP.DYN.LE00.IN']]]/Table1[[#This Row],[Current health expenditure per capita (current US$) '[SH.XPD.CHEX.PC.CD']]]*1000</f>
        <v>13.197215687792163</v>
      </c>
    </row>
    <row r="322" spans="1:7" hidden="1" x14ac:dyDescent="0.25">
      <c r="B322" s="1"/>
      <c r="D322" s="3"/>
      <c r="E322"/>
      <c r="F322" t="e">
        <f>Table1[[#This Row],[Life expectancy at birth, total (years) '[SP.DYN.LE00.IN']]]/Table1[[#This Row],[Current health expenditure per capita (current US$) '[SH.XPD.CHEX.PC.CD']]]</f>
        <v>#DIV/0!</v>
      </c>
      <c r="G322" s="2" t="e">
        <f>Table1[[#This Row],[Life expectancy at birth, total (years) '[SP.DYN.LE00.IN']]]/Table1[[#This Row],[Current health expenditure per capita (current US$) '[SH.XPD.CHEX.PC.CD']]]*1000</f>
        <v>#DIV/0!</v>
      </c>
    </row>
    <row r="323" spans="1:7" x14ac:dyDescent="0.25">
      <c r="A323" s="5" t="s">
        <v>67</v>
      </c>
      <c r="B323" s="6" t="s">
        <v>178</v>
      </c>
      <c r="C323" s="5">
        <v>2015</v>
      </c>
      <c r="D323" s="7">
        <v>18.441942210000001</v>
      </c>
      <c r="E323" s="11">
        <v>51.933999999999997</v>
      </c>
      <c r="F323" s="10">
        <f>Table1[[#This Row],[Life expectancy at birth, total (years) '[SP.DYN.LE00.IN']]]/Table1[[#This Row],[Current health expenditure per capita (current US$) '[SH.XPD.CHEX.PC.CD']]]</f>
        <v>2.8160808340370562</v>
      </c>
      <c r="G323" s="4">
        <f>Table1[[#This Row],[Life expectancy at birth, total (years) '[SP.DYN.LE00.IN']]]/Table1[[#This Row],[Current health expenditure per capita (current US$) '[SH.XPD.CHEX.PC.CD']]]*1000</f>
        <v>2816.0808340370563</v>
      </c>
    </row>
    <row r="324" spans="1:7" x14ac:dyDescent="0.25">
      <c r="A324" s="5" t="s">
        <v>67</v>
      </c>
      <c r="B324" s="6" t="s">
        <v>178</v>
      </c>
      <c r="C324" s="5">
        <v>2016</v>
      </c>
      <c r="D324" s="7">
        <v>21.077960969999999</v>
      </c>
      <c r="E324" s="11">
        <v>50.999000000000002</v>
      </c>
      <c r="F324" s="10">
        <f>Table1[[#This Row],[Life expectancy at birth, total (years) '[SP.DYN.LE00.IN']]]/Table1[[#This Row],[Current health expenditure per capita (current US$) '[SH.XPD.CHEX.PC.CD']]]</f>
        <v>2.4195414382153118</v>
      </c>
      <c r="G324" s="4">
        <f>Table1[[#This Row],[Life expectancy at birth, total (years) '[SP.DYN.LE00.IN']]]/Table1[[#This Row],[Current health expenditure per capita (current US$) '[SH.XPD.CHEX.PC.CD']]]*1000</f>
        <v>2419.5414382153117</v>
      </c>
    </row>
    <row r="325" spans="1:7" x14ac:dyDescent="0.25">
      <c r="A325" s="5" t="s">
        <v>67</v>
      </c>
      <c r="B325" s="6" t="s">
        <v>178</v>
      </c>
      <c r="C325" s="5">
        <v>2017</v>
      </c>
      <c r="D325" s="7">
        <v>28.816196439999999</v>
      </c>
      <c r="E325" s="11">
        <v>45.231000000000002</v>
      </c>
      <c r="F325" s="10">
        <f>Table1[[#This Row],[Life expectancy at birth, total (years) '[SP.DYN.LE00.IN']]]/Table1[[#This Row],[Current health expenditure per capita (current US$) '[SH.XPD.CHEX.PC.CD']]]</f>
        <v>1.5696381059234619</v>
      </c>
      <c r="G325" s="4">
        <f>Table1[[#This Row],[Life expectancy at birth, total (years) '[SP.DYN.LE00.IN']]]/Table1[[#This Row],[Current health expenditure per capita (current US$) '[SH.XPD.CHEX.PC.CD']]]*1000</f>
        <v>1569.6381059234618</v>
      </c>
    </row>
    <row r="326" spans="1:7" x14ac:dyDescent="0.25">
      <c r="A326" s="5" t="s">
        <v>67</v>
      </c>
      <c r="B326" s="6" t="s">
        <v>178</v>
      </c>
      <c r="C326" s="5">
        <v>2018</v>
      </c>
      <c r="D326" s="7">
        <v>51.354106899999998</v>
      </c>
      <c r="E326" s="11">
        <v>52.296999999999997</v>
      </c>
      <c r="F326" s="10">
        <f>Table1[[#This Row],[Life expectancy at birth, total (years) '[SP.DYN.LE00.IN']]]/Table1[[#This Row],[Current health expenditure per capita (current US$) '[SH.XPD.CHEX.PC.CD']]]</f>
        <v>1.0183606172304012</v>
      </c>
      <c r="G326" s="4">
        <f>Table1[[#This Row],[Life expectancy at birth, total (years) '[SP.DYN.LE00.IN']]]/Table1[[#This Row],[Current health expenditure per capita (current US$) '[SH.XPD.CHEX.PC.CD']]]*1000</f>
        <v>1018.3606172304012</v>
      </c>
    </row>
    <row r="327" spans="1:7" x14ac:dyDescent="0.25">
      <c r="A327" s="5" t="s">
        <v>67</v>
      </c>
      <c r="B327" s="6" t="s">
        <v>178</v>
      </c>
      <c r="C327" s="5">
        <v>2019</v>
      </c>
      <c r="D327" s="7">
        <v>35.760990139999997</v>
      </c>
      <c r="E327" s="11">
        <v>31.53</v>
      </c>
      <c r="F327" s="10">
        <f>Table1[[#This Row],[Life expectancy at birth, total (years) '[SP.DYN.LE00.IN']]]/Table1[[#This Row],[Current health expenditure per capita (current US$) '[SH.XPD.CHEX.PC.CD']]]</f>
        <v>0.88168699682429996</v>
      </c>
      <c r="G327" s="4">
        <f>Table1[[#This Row],[Life expectancy at birth, total (years) '[SP.DYN.LE00.IN']]]/Table1[[#This Row],[Current health expenditure per capita (current US$) '[SH.XPD.CHEX.PC.CD']]]*1000</f>
        <v>881.68699682429997</v>
      </c>
    </row>
    <row r="328" spans="1:7" x14ac:dyDescent="0.25">
      <c r="A328" s="5" t="s">
        <v>67</v>
      </c>
      <c r="B328" s="6" t="s">
        <v>178</v>
      </c>
      <c r="C328" s="5">
        <v>2020</v>
      </c>
      <c r="D328" s="7">
        <v>42.634765629999997</v>
      </c>
      <c r="E328" s="11">
        <v>50.595999999999997</v>
      </c>
      <c r="F328" s="10">
        <f>Table1[[#This Row],[Life expectancy at birth, total (years) '[SP.DYN.LE00.IN']]]/Table1[[#This Row],[Current health expenditure per capita (current US$) '[SH.XPD.CHEX.PC.CD']]]</f>
        <v>1.1867310457172555</v>
      </c>
      <c r="G328" s="4">
        <f>Table1[[#This Row],[Life expectancy at birth, total (years) '[SP.DYN.LE00.IN']]]/Table1[[#This Row],[Current health expenditure per capita (current US$) '[SH.XPD.CHEX.PC.CD']]]*1000</f>
        <v>1186.7310457172555</v>
      </c>
    </row>
    <row r="329" spans="1:7" x14ac:dyDescent="0.25">
      <c r="A329" s="5" t="s">
        <v>67</v>
      </c>
      <c r="B329" s="6" t="s">
        <v>178</v>
      </c>
      <c r="C329" s="5">
        <v>2021</v>
      </c>
      <c r="D329" s="7">
        <v>46.250381470000001</v>
      </c>
      <c r="E329" s="11">
        <v>40.279000000000003</v>
      </c>
      <c r="F329" s="10">
        <f>Table1[[#This Row],[Life expectancy at birth, total (years) '[SP.DYN.LE00.IN']]]/Table1[[#This Row],[Current health expenditure per capita (current US$) '[SH.XPD.CHEX.PC.CD']]]</f>
        <v>0.87089011419563545</v>
      </c>
      <c r="G329" s="4">
        <f>Table1[[#This Row],[Life expectancy at birth, total (years) '[SP.DYN.LE00.IN']]]/Table1[[#This Row],[Current health expenditure per capita (current US$) '[SH.XPD.CHEX.PC.CD']]]*1000</f>
        <v>870.89011419563542</v>
      </c>
    </row>
    <row r="330" spans="1:7" x14ac:dyDescent="0.25">
      <c r="A330" s="5" t="s">
        <v>67</v>
      </c>
      <c r="B330" s="6" t="s">
        <v>178</v>
      </c>
      <c r="C330" s="5">
        <v>2022</v>
      </c>
      <c r="D330" s="7">
        <v>47.915233610000001</v>
      </c>
      <c r="E330" s="11">
        <v>18.818000000000001</v>
      </c>
      <c r="F330" s="10">
        <f>Table1[[#This Row],[Life expectancy at birth, total (years) '[SP.DYN.LE00.IN']]]/Table1[[#This Row],[Current health expenditure per capita (current US$) '[SH.XPD.CHEX.PC.CD']]]</f>
        <v>0.3927352238990785</v>
      </c>
      <c r="G330" s="4">
        <f>Table1[[#This Row],[Life expectancy at birth, total (years) '[SP.DYN.LE00.IN']]]/Table1[[#This Row],[Current health expenditure per capita (current US$) '[SH.XPD.CHEX.PC.CD']]]*1000</f>
        <v>392.73522389907851</v>
      </c>
    </row>
    <row r="331" spans="1:7" x14ac:dyDescent="0.25">
      <c r="A331" s="5" t="s">
        <v>67</v>
      </c>
      <c r="B331" s="6" t="s">
        <v>178</v>
      </c>
      <c r="C331" s="5">
        <v>2023</v>
      </c>
      <c r="D331" s="7">
        <v>53.81136703</v>
      </c>
      <c r="E331" s="11">
        <v>57.408000000000001</v>
      </c>
      <c r="F331" s="10">
        <f>Table1[[#This Row],[Life expectancy at birth, total (years) '[SP.DYN.LE00.IN']]]/Table1[[#This Row],[Current health expenditure per capita (current US$) '[SH.XPD.CHEX.PC.CD']]]</f>
        <v>1.0668377922455468</v>
      </c>
      <c r="G331" s="4">
        <f>Table1[[#This Row],[Life expectancy at birth, total (years) '[SP.DYN.LE00.IN']]]/Table1[[#This Row],[Current health expenditure per capita (current US$) '[SH.XPD.CHEX.PC.CD']]]*1000</f>
        <v>1066.8377922455468</v>
      </c>
    </row>
    <row r="332" spans="1:7" hidden="1" x14ac:dyDescent="0.25">
      <c r="B332" s="1"/>
      <c r="D332" s="3"/>
      <c r="E332"/>
      <c r="F332" t="e">
        <f>Table1[[#This Row],[Life expectancy at birth, total (years) '[SP.DYN.LE00.IN']]]/Table1[[#This Row],[Current health expenditure per capita (current US$) '[SH.XPD.CHEX.PC.CD']]]</f>
        <v>#DIV/0!</v>
      </c>
      <c r="G332" s="2" t="e">
        <f>Table1[[#This Row],[Life expectancy at birth, total (years) '[SP.DYN.LE00.IN']]]/Table1[[#This Row],[Current health expenditure per capita (current US$) '[SH.XPD.CHEX.PC.CD']]]*1000</f>
        <v>#DIV/0!</v>
      </c>
    </row>
    <row r="333" spans="1:7" x14ac:dyDescent="0.25">
      <c r="A333" s="5" t="s">
        <v>14</v>
      </c>
      <c r="B333" s="6" t="s">
        <v>256</v>
      </c>
      <c r="C333" s="5">
        <v>2015</v>
      </c>
      <c r="D333" s="7">
        <v>33.820922850000002</v>
      </c>
      <c r="E333" s="11">
        <v>51.32</v>
      </c>
      <c r="F333" s="10">
        <f>Table1[[#This Row],[Life expectancy at birth, total (years) '[SP.DYN.LE00.IN']]]/Table1[[#This Row],[Current health expenditure per capita (current US$) '[SH.XPD.CHEX.PC.CD']]]</f>
        <v>1.5174038930756142</v>
      </c>
      <c r="G333" s="4">
        <f>Table1[[#This Row],[Life expectancy at birth, total (years) '[SP.DYN.LE00.IN']]]/Table1[[#This Row],[Current health expenditure per capita (current US$) '[SH.XPD.CHEX.PC.CD']]]*1000</f>
        <v>1517.4038930756142</v>
      </c>
    </row>
    <row r="334" spans="1:7" x14ac:dyDescent="0.25">
      <c r="A334" s="5" t="s">
        <v>14</v>
      </c>
      <c r="B334" s="6" t="s">
        <v>256</v>
      </c>
      <c r="C334" s="5">
        <v>2016</v>
      </c>
      <c r="D334" s="7">
        <v>31.96038055</v>
      </c>
      <c r="E334" s="11">
        <v>51.603000000000002</v>
      </c>
      <c r="F334" s="10">
        <f>Table1[[#This Row],[Life expectancy at birth, total (years) '[SP.DYN.LE00.IN']]]/Table1[[#This Row],[Current health expenditure per capita (current US$) '[SH.XPD.CHEX.PC.CD']]]</f>
        <v>1.6145927899472399</v>
      </c>
      <c r="G334" s="4">
        <f>Table1[[#This Row],[Life expectancy at birth, total (years) '[SP.DYN.LE00.IN']]]/Table1[[#This Row],[Current health expenditure per capita (current US$) '[SH.XPD.CHEX.PC.CD']]]*1000</f>
        <v>1614.5927899472399</v>
      </c>
    </row>
    <row r="335" spans="1:7" x14ac:dyDescent="0.25">
      <c r="A335" s="5" t="s">
        <v>14</v>
      </c>
      <c r="B335" s="6" t="s">
        <v>256</v>
      </c>
      <c r="C335" s="5">
        <v>2017</v>
      </c>
      <c r="D335" s="7">
        <v>29.993589400000001</v>
      </c>
      <c r="E335" s="11">
        <v>51.875</v>
      </c>
      <c r="F335" s="10">
        <f>Table1[[#This Row],[Life expectancy at birth, total (years) '[SP.DYN.LE00.IN']]]/Table1[[#This Row],[Current health expenditure per capita (current US$) '[SH.XPD.CHEX.PC.CD']]]</f>
        <v>1.729536245501847</v>
      </c>
      <c r="G335" s="4">
        <f>Table1[[#This Row],[Life expectancy at birth, total (years) '[SP.DYN.LE00.IN']]]/Table1[[#This Row],[Current health expenditure per capita (current US$) '[SH.XPD.CHEX.PC.CD']]]*1000</f>
        <v>1729.5362455018471</v>
      </c>
    </row>
    <row r="336" spans="1:7" x14ac:dyDescent="0.25">
      <c r="A336" s="5" t="s">
        <v>14</v>
      </c>
      <c r="B336" s="6" t="s">
        <v>256</v>
      </c>
      <c r="C336" s="5">
        <v>2018</v>
      </c>
      <c r="D336" s="7">
        <v>31.2043705</v>
      </c>
      <c r="E336" s="11">
        <v>52.447000000000003</v>
      </c>
      <c r="F336" s="10">
        <f>Table1[[#This Row],[Life expectancy at birth, total (years) '[SP.DYN.LE00.IN']]]/Table1[[#This Row],[Current health expenditure per capita (current US$) '[SH.XPD.CHEX.PC.CD']]]</f>
        <v>1.6807581489266064</v>
      </c>
      <c r="G336" s="4">
        <f>Table1[[#This Row],[Life expectancy at birth, total (years) '[SP.DYN.LE00.IN']]]/Table1[[#This Row],[Current health expenditure per capita (current US$) '[SH.XPD.CHEX.PC.CD']]]*1000</f>
        <v>1680.7581489266063</v>
      </c>
    </row>
    <row r="337" spans="1:7" x14ac:dyDescent="0.25">
      <c r="A337" s="5" t="s">
        <v>14</v>
      </c>
      <c r="B337" s="6" t="s">
        <v>256</v>
      </c>
      <c r="C337" s="5">
        <v>2019</v>
      </c>
      <c r="D337" s="7">
        <v>30.236902239999999</v>
      </c>
      <c r="E337" s="11">
        <v>52.993000000000002</v>
      </c>
      <c r="F337" s="10">
        <f>Table1[[#This Row],[Life expectancy at birth, total (years) '[SP.DYN.LE00.IN']]]/Table1[[#This Row],[Current health expenditure per capita (current US$) '[SH.XPD.CHEX.PC.CD']]]</f>
        <v>1.7525935553641556</v>
      </c>
      <c r="G337" s="4">
        <f>Table1[[#This Row],[Life expectancy at birth, total (years) '[SP.DYN.LE00.IN']]]/Table1[[#This Row],[Current health expenditure per capita (current US$) '[SH.XPD.CHEX.PC.CD']]]*1000</f>
        <v>1752.5935553641557</v>
      </c>
    </row>
    <row r="338" spans="1:7" x14ac:dyDescent="0.25">
      <c r="A338" s="5" t="s">
        <v>14</v>
      </c>
      <c r="B338" s="6" t="s">
        <v>256</v>
      </c>
      <c r="C338" s="5">
        <v>2020</v>
      </c>
      <c r="D338" s="7">
        <v>37.730880740000003</v>
      </c>
      <c r="E338" s="11">
        <v>53.082000000000001</v>
      </c>
      <c r="F338" s="10">
        <f>Table1[[#This Row],[Life expectancy at birth, total (years) '[SP.DYN.LE00.IN']]]/Table1[[#This Row],[Current health expenditure per capita (current US$) '[SH.XPD.CHEX.PC.CD']]]</f>
        <v>1.4068582275029076</v>
      </c>
      <c r="G338" s="4">
        <f>Table1[[#This Row],[Life expectancy at birth, total (years) '[SP.DYN.LE00.IN']]]/Table1[[#This Row],[Current health expenditure per capita (current US$) '[SH.XPD.CHEX.PC.CD']]]*1000</f>
        <v>1406.8582275029075</v>
      </c>
    </row>
    <row r="339" spans="1:7" x14ac:dyDescent="0.25">
      <c r="A339" s="5" t="s">
        <v>14</v>
      </c>
      <c r="B339" s="6" t="s">
        <v>256</v>
      </c>
      <c r="C339" s="5">
        <v>2021</v>
      </c>
      <c r="D339" s="7">
        <v>37.591567990000001</v>
      </c>
      <c r="E339" s="11">
        <v>53.136000000000003</v>
      </c>
      <c r="F339" s="10">
        <f>Table1[[#This Row],[Life expectancy at birth, total (years) '[SP.DYN.LE00.IN']]]/Table1[[#This Row],[Current health expenditure per capita (current US$) '[SH.XPD.CHEX.PC.CD']]]</f>
        <v>1.4135084765321597</v>
      </c>
      <c r="G339" s="4">
        <f>Table1[[#This Row],[Life expectancy at birth, total (years) '[SP.DYN.LE00.IN']]]/Table1[[#This Row],[Current health expenditure per capita (current US$) '[SH.XPD.CHEX.PC.CD']]]*1000</f>
        <v>1413.5084765321596</v>
      </c>
    </row>
    <row r="340" spans="1:7" x14ac:dyDescent="0.25">
      <c r="A340" s="5" t="s">
        <v>14</v>
      </c>
      <c r="B340" s="6" t="s">
        <v>256</v>
      </c>
      <c r="C340" s="5">
        <v>2022</v>
      </c>
      <c r="D340" s="7">
        <v>40.170074460000002</v>
      </c>
      <c r="E340" s="11">
        <v>54.527999999999999</v>
      </c>
      <c r="F340" s="10">
        <f>Table1[[#This Row],[Life expectancy at birth, total (years) '[SP.DYN.LE00.IN']]]/Table1[[#This Row],[Current health expenditure per capita (current US$) '[SH.XPD.CHEX.PC.CD']]]</f>
        <v>1.357428402436673</v>
      </c>
      <c r="G340" s="4">
        <f>Table1[[#This Row],[Life expectancy at birth, total (years) '[SP.DYN.LE00.IN']]]/Table1[[#This Row],[Current health expenditure per capita (current US$) '[SH.XPD.CHEX.PC.CD']]]*1000</f>
        <v>1357.428402436673</v>
      </c>
    </row>
    <row r="341" spans="1:7" x14ac:dyDescent="0.25">
      <c r="A341" s="5" t="s">
        <v>14</v>
      </c>
      <c r="B341" s="6" t="s">
        <v>256</v>
      </c>
      <c r="C341" s="5">
        <v>2023</v>
      </c>
      <c r="D341" s="7">
        <v>47.438930509999999</v>
      </c>
      <c r="E341" s="11">
        <v>55.069000000000003</v>
      </c>
      <c r="F341" s="10">
        <f>Table1[[#This Row],[Life expectancy at birth, total (years) '[SP.DYN.LE00.IN']]]/Table1[[#This Row],[Current health expenditure per capita (current US$) '[SH.XPD.CHEX.PC.CD']]]</f>
        <v>1.1608398293969044</v>
      </c>
      <c r="G341" s="4">
        <f>Table1[[#This Row],[Life expectancy at birth, total (years) '[SP.DYN.LE00.IN']]]/Table1[[#This Row],[Current health expenditure per capita (current US$) '[SH.XPD.CHEX.PC.CD']]]*1000</f>
        <v>1160.8398293969044</v>
      </c>
    </row>
    <row r="342" spans="1:7" hidden="1" x14ac:dyDescent="0.25">
      <c r="B342" s="1"/>
      <c r="D342" s="3"/>
      <c r="E342"/>
      <c r="F342" t="e">
        <f>Table1[[#This Row],[Life expectancy at birth, total (years) '[SP.DYN.LE00.IN']]]/Table1[[#This Row],[Current health expenditure per capita (current US$) '[SH.XPD.CHEX.PC.CD']]]</f>
        <v>#DIV/0!</v>
      </c>
      <c r="G342" s="2" t="e">
        <f>Table1[[#This Row],[Life expectancy at birth, total (years) '[SP.DYN.LE00.IN']]]/Table1[[#This Row],[Current health expenditure per capita (current US$) '[SH.XPD.CHEX.PC.CD']]]*1000</f>
        <v>#DIV/0!</v>
      </c>
    </row>
    <row r="343" spans="1:7" x14ac:dyDescent="0.25">
      <c r="A343" s="5" t="s">
        <v>413</v>
      </c>
      <c r="B343" s="6" t="s">
        <v>183</v>
      </c>
      <c r="C343" s="5">
        <v>2015</v>
      </c>
      <c r="D343" s="7">
        <v>1122.13378906</v>
      </c>
      <c r="E343" s="11">
        <v>80.007999999999996</v>
      </c>
      <c r="F343" s="10">
        <f>Table1[[#This Row],[Life expectancy at birth, total (years) '[SP.DYN.LE00.IN']]]/Table1[[#This Row],[Current health expenditure per capita (current US$) '[SH.XPD.CHEX.PC.CD']]]</f>
        <v>7.129987598628669E-2</v>
      </c>
      <c r="G343" s="4">
        <f>Table1[[#This Row],[Life expectancy at birth, total (years) '[SP.DYN.LE00.IN']]]/Table1[[#This Row],[Current health expenditure per capita (current US$) '[SH.XPD.CHEX.PC.CD']]]*1000</f>
        <v>71.299875986286693</v>
      </c>
    </row>
    <row r="344" spans="1:7" x14ac:dyDescent="0.25">
      <c r="A344" s="5" t="s">
        <v>413</v>
      </c>
      <c r="B344" s="6" t="s">
        <v>183</v>
      </c>
      <c r="C344" s="5">
        <v>2016</v>
      </c>
      <c r="D344" s="7">
        <v>1167.8930664100001</v>
      </c>
      <c r="E344" s="11">
        <v>80.295000000000002</v>
      </c>
      <c r="F344" s="10">
        <f>Table1[[#This Row],[Life expectancy at birth, total (years) '[SP.DYN.LE00.IN']]]/Table1[[#This Row],[Current health expenditure per capita (current US$) '[SH.XPD.CHEX.PC.CD']]]</f>
        <v>6.8752013612701487E-2</v>
      </c>
      <c r="G344" s="4">
        <f>Table1[[#This Row],[Life expectancy at birth, total (years) '[SP.DYN.LE00.IN']]]/Table1[[#This Row],[Current health expenditure per capita (current US$) '[SH.XPD.CHEX.PC.CD']]]*1000</f>
        <v>68.752013612701489</v>
      </c>
    </row>
    <row r="345" spans="1:7" x14ac:dyDescent="0.25">
      <c r="A345" s="5" t="s">
        <v>413</v>
      </c>
      <c r="B345" s="6" t="s">
        <v>183</v>
      </c>
      <c r="C345" s="5">
        <v>2017</v>
      </c>
      <c r="D345" s="7">
        <v>1353.6927490200001</v>
      </c>
      <c r="E345" s="11">
        <v>80.61</v>
      </c>
      <c r="F345" s="10">
        <f>Table1[[#This Row],[Life expectancy at birth, total (years) '[SP.DYN.LE00.IN']]]/Table1[[#This Row],[Current health expenditure per capita (current US$) '[SH.XPD.CHEX.PC.CD']]]</f>
        <v>5.9548224704872844E-2</v>
      </c>
      <c r="G345" s="4">
        <f>Table1[[#This Row],[Life expectancy at birth, total (years) '[SP.DYN.LE00.IN']]]/Table1[[#This Row],[Current health expenditure per capita (current US$) '[SH.XPD.CHEX.PC.CD']]]*1000</f>
        <v>59.548224704872844</v>
      </c>
    </row>
    <row r="346" spans="1:7" x14ac:dyDescent="0.25">
      <c r="A346" s="5" t="s">
        <v>413</v>
      </c>
      <c r="B346" s="6" t="s">
        <v>183</v>
      </c>
      <c r="C346" s="5">
        <v>2018</v>
      </c>
      <c r="D346" s="7">
        <v>1430.7026367200001</v>
      </c>
      <c r="E346" s="11">
        <v>80.558999999999997</v>
      </c>
      <c r="F346" s="10">
        <f>Table1[[#This Row],[Life expectancy at birth, total (years) '[SP.DYN.LE00.IN']]]/Table1[[#This Row],[Current health expenditure per capita (current US$) '[SH.XPD.CHEX.PC.CD']]]</f>
        <v>5.630729819907785E-2</v>
      </c>
      <c r="G346" s="4">
        <f>Table1[[#This Row],[Life expectancy at birth, total (years) '[SP.DYN.LE00.IN']]]/Table1[[#This Row],[Current health expenditure per capita (current US$) '[SH.XPD.CHEX.PC.CD']]]*1000</f>
        <v>56.307298199077849</v>
      </c>
    </row>
    <row r="347" spans="1:7" x14ac:dyDescent="0.25">
      <c r="A347" s="5" t="s">
        <v>413</v>
      </c>
      <c r="B347" s="6" t="s">
        <v>183</v>
      </c>
      <c r="C347" s="5">
        <v>2019</v>
      </c>
      <c r="D347" s="7">
        <v>1348.99401855</v>
      </c>
      <c r="E347" s="11">
        <v>80.323999999999998</v>
      </c>
      <c r="F347" s="10">
        <f>Table1[[#This Row],[Life expectancy at birth, total (years) '[SP.DYN.LE00.IN']]]/Table1[[#This Row],[Current health expenditure per capita (current US$) '[SH.XPD.CHEX.PC.CD']]]</f>
        <v>5.954362947164011E-2</v>
      </c>
      <c r="G347" s="4">
        <f>Table1[[#This Row],[Life expectancy at birth, total (years) '[SP.DYN.LE00.IN']]]/Table1[[#This Row],[Current health expenditure per capita (current US$) '[SH.XPD.CHEX.PC.CD']]]*1000</f>
        <v>59.543629471640109</v>
      </c>
    </row>
    <row r="348" spans="1:7" x14ac:dyDescent="0.25">
      <c r="A348" s="5" t="s">
        <v>413</v>
      </c>
      <c r="B348" s="6" t="s">
        <v>183</v>
      </c>
      <c r="C348" s="5">
        <v>2020</v>
      </c>
      <c r="D348" s="7">
        <v>1270.97814941</v>
      </c>
      <c r="E348" s="11">
        <v>79.349000000000004</v>
      </c>
      <c r="F348" s="10">
        <f>Table1[[#This Row],[Life expectancy at birth, total (years) '[SP.DYN.LE00.IN']]]/Table1[[#This Row],[Current health expenditure per capita (current US$) '[SH.XPD.CHEX.PC.CD']]]</f>
        <v>6.2431443087227388E-2</v>
      </c>
      <c r="G348" s="4">
        <f>Table1[[#This Row],[Life expectancy at birth, total (years) '[SP.DYN.LE00.IN']]]/Table1[[#This Row],[Current health expenditure per capita (current US$) '[SH.XPD.CHEX.PC.CD']]]*1000</f>
        <v>62.431443087227386</v>
      </c>
    </row>
    <row r="349" spans="1:7" x14ac:dyDescent="0.25">
      <c r="A349" s="5" t="s">
        <v>413</v>
      </c>
      <c r="B349" s="6" t="s">
        <v>183</v>
      </c>
      <c r="C349" s="5">
        <v>2021</v>
      </c>
      <c r="D349" s="7">
        <v>1576.6928710899999</v>
      </c>
      <c r="E349" s="11">
        <v>78.876000000000005</v>
      </c>
      <c r="F349" s="10">
        <f>Table1[[#This Row],[Life expectancy at birth, total (years) '[SP.DYN.LE00.IN']]]/Table1[[#This Row],[Current health expenditure per capita (current US$) '[SH.XPD.CHEX.PC.CD']]]</f>
        <v>5.0026229867755678E-2</v>
      </c>
      <c r="G349" s="4">
        <f>Table1[[#This Row],[Life expectancy at birth, total (years) '[SP.DYN.LE00.IN']]]/Table1[[#This Row],[Current health expenditure per capita (current US$) '[SH.XPD.CHEX.PC.CD']]]*1000</f>
        <v>50.026229867755681</v>
      </c>
    </row>
    <row r="350" spans="1:7" x14ac:dyDescent="0.25">
      <c r="A350" s="5" t="s">
        <v>413</v>
      </c>
      <c r="B350" s="6" t="s">
        <v>183</v>
      </c>
      <c r="C350" s="5">
        <v>2022</v>
      </c>
      <c r="D350" s="7">
        <v>1541.37927246</v>
      </c>
      <c r="E350" s="11">
        <v>79.176000000000002</v>
      </c>
      <c r="F350" s="10">
        <f>Table1[[#This Row],[Life expectancy at birth, total (years) '[SP.DYN.LE00.IN']]]/Table1[[#This Row],[Current health expenditure per capita (current US$) '[SH.XPD.CHEX.PC.CD']]]</f>
        <v>5.1366981128296366E-2</v>
      </c>
      <c r="G350" s="4">
        <f>Table1[[#This Row],[Life expectancy at birth, total (years) '[SP.DYN.LE00.IN']]]/Table1[[#This Row],[Current health expenditure per capita (current US$) '[SH.XPD.CHEX.PC.CD']]]*1000</f>
        <v>51.366981128296366</v>
      </c>
    </row>
    <row r="351" spans="1:7" x14ac:dyDescent="0.25">
      <c r="A351" s="5" t="s">
        <v>413</v>
      </c>
      <c r="B351" s="6" t="s">
        <v>183</v>
      </c>
      <c r="C351" s="5">
        <v>2023</v>
      </c>
      <c r="D351" s="7">
        <v>1736.5203857399999</v>
      </c>
      <c r="E351" s="11">
        <v>81.167000000000002</v>
      </c>
      <c r="F351" s="10">
        <f>Table1[[#This Row],[Life expectancy at birth, total (years) '[SP.DYN.LE00.IN']]]/Table1[[#This Row],[Current health expenditure per capita (current US$) '[SH.XPD.CHEX.PC.CD']]]</f>
        <v>4.6741173133658054E-2</v>
      </c>
      <c r="G351" s="4">
        <f>Table1[[#This Row],[Life expectancy at birth, total (years) '[SP.DYN.LE00.IN']]]/Table1[[#This Row],[Current health expenditure per capita (current US$) '[SH.XPD.CHEX.PC.CD']]]*1000</f>
        <v>46.741173133658052</v>
      </c>
    </row>
    <row r="352" spans="1:7" hidden="1" x14ac:dyDescent="0.25">
      <c r="B352" s="1"/>
      <c r="D352" s="3"/>
      <c r="E352"/>
      <c r="F352" t="e">
        <f>Table1[[#This Row],[Life expectancy at birth, total (years) '[SP.DYN.LE00.IN']]]/Table1[[#This Row],[Current health expenditure per capita (current US$) '[SH.XPD.CHEX.PC.CD']]]</f>
        <v>#DIV/0!</v>
      </c>
      <c r="G352" s="2" t="e">
        <f>Table1[[#This Row],[Life expectancy at birth, total (years) '[SP.DYN.LE00.IN']]]/Table1[[#This Row],[Current health expenditure per capita (current US$) '[SH.XPD.CHEX.PC.CD']]]*1000</f>
        <v>#DIV/0!</v>
      </c>
    </row>
    <row r="353" spans="1:7" x14ac:dyDescent="0.25">
      <c r="A353" s="5" t="s">
        <v>273</v>
      </c>
      <c r="B353" s="6" t="s">
        <v>135</v>
      </c>
      <c r="C353" s="5">
        <v>2015</v>
      </c>
      <c r="D353" s="7">
        <v>393.09768677</v>
      </c>
      <c r="E353" s="11">
        <v>76.974999999999994</v>
      </c>
      <c r="F353" s="10">
        <f>Table1[[#This Row],[Life expectancy at birth, total (years) '[SP.DYN.LE00.IN']]]/Table1[[#This Row],[Current health expenditure per capita (current US$) '[SH.XPD.CHEX.PC.CD']]]</f>
        <v>0.19581646646788278</v>
      </c>
      <c r="G353" s="4">
        <f>Table1[[#This Row],[Life expectancy at birth, total (years) '[SP.DYN.LE00.IN']]]/Table1[[#This Row],[Current health expenditure per capita (current US$) '[SH.XPD.CHEX.PC.CD']]]*1000</f>
        <v>195.81646646788278</v>
      </c>
    </row>
    <row r="354" spans="1:7" x14ac:dyDescent="0.25">
      <c r="A354" s="5" t="s">
        <v>273</v>
      </c>
      <c r="B354" s="6" t="s">
        <v>135</v>
      </c>
      <c r="C354" s="5">
        <v>2016</v>
      </c>
      <c r="D354" s="7">
        <v>398.17489624000001</v>
      </c>
      <c r="E354" s="11">
        <v>77.213999999999999</v>
      </c>
      <c r="F354" s="10">
        <f>Table1[[#This Row],[Life expectancy at birth, total (years) '[SP.DYN.LE00.IN']]]/Table1[[#This Row],[Current health expenditure per capita (current US$) '[SH.XPD.CHEX.PC.CD']]]</f>
        <v>0.19391980943333817</v>
      </c>
      <c r="G354" s="4">
        <f>Table1[[#This Row],[Life expectancy at birth, total (years) '[SP.DYN.LE00.IN']]]/Table1[[#This Row],[Current health expenditure per capita (current US$) '[SH.XPD.CHEX.PC.CD']]]*1000</f>
        <v>193.91980943333817</v>
      </c>
    </row>
    <row r="355" spans="1:7" x14ac:dyDescent="0.25">
      <c r="A355" s="5" t="s">
        <v>273</v>
      </c>
      <c r="B355" s="6" t="s">
        <v>135</v>
      </c>
      <c r="C355" s="5">
        <v>2017</v>
      </c>
      <c r="D355" s="7">
        <v>439.94006347999999</v>
      </c>
      <c r="E355" s="11">
        <v>77.234999999999999</v>
      </c>
      <c r="F355" s="10">
        <f>Table1[[#This Row],[Life expectancy at birth, total (years) '[SP.DYN.LE00.IN']]]/Table1[[#This Row],[Current health expenditure per capita (current US$) '[SH.XPD.CHEX.PC.CD']]]</f>
        <v>0.17555800530885535</v>
      </c>
      <c r="G355" s="4">
        <f>Table1[[#This Row],[Life expectancy at birth, total (years) '[SP.DYN.LE00.IN']]]/Table1[[#This Row],[Current health expenditure per capita (current US$) '[SH.XPD.CHEX.PC.CD']]]*1000</f>
        <v>175.55800530885534</v>
      </c>
    </row>
    <row r="356" spans="1:7" x14ac:dyDescent="0.25">
      <c r="A356" s="5" t="s">
        <v>273</v>
      </c>
      <c r="B356" s="6" t="s">
        <v>135</v>
      </c>
      <c r="C356" s="5">
        <v>2018</v>
      </c>
      <c r="D356" s="7">
        <v>504.10980224999997</v>
      </c>
      <c r="E356" s="11">
        <v>77.709000000000003</v>
      </c>
      <c r="F356" s="10">
        <f>Table1[[#This Row],[Life expectancy at birth, total (years) '[SP.DYN.LE00.IN']]]/Table1[[#This Row],[Current health expenditure per capita (current US$) '[SH.XPD.CHEX.PC.CD']]]</f>
        <v>0.15415094023794101</v>
      </c>
      <c r="G356" s="4">
        <f>Table1[[#This Row],[Life expectancy at birth, total (years) '[SP.DYN.LE00.IN']]]/Table1[[#This Row],[Current health expenditure per capita (current US$) '[SH.XPD.CHEX.PC.CD']]]*1000</f>
        <v>154.150940237941</v>
      </c>
    </row>
    <row r="357" spans="1:7" x14ac:dyDescent="0.25">
      <c r="A357" s="5" t="s">
        <v>273</v>
      </c>
      <c r="B357" s="6" t="s">
        <v>135</v>
      </c>
      <c r="C357" s="5">
        <v>2019</v>
      </c>
      <c r="D357" s="7">
        <v>538.99157715000001</v>
      </c>
      <c r="E357" s="11">
        <v>77.94</v>
      </c>
      <c r="F357" s="10">
        <f>Table1[[#This Row],[Life expectancy at birth, total (years) '[SP.DYN.LE00.IN']]]/Table1[[#This Row],[Current health expenditure per capita (current US$) '[SH.XPD.CHEX.PC.CD']]]</f>
        <v>0.14460337286181651</v>
      </c>
      <c r="G357" s="4">
        <f>Table1[[#This Row],[Life expectancy at birth, total (years) '[SP.DYN.LE00.IN']]]/Table1[[#This Row],[Current health expenditure per capita (current US$) '[SH.XPD.CHEX.PC.CD']]]*1000</f>
        <v>144.60337286181652</v>
      </c>
    </row>
    <row r="358" spans="1:7" x14ac:dyDescent="0.25">
      <c r="A358" s="5" t="s">
        <v>273</v>
      </c>
      <c r="B358" s="6" t="s">
        <v>135</v>
      </c>
      <c r="C358" s="5">
        <v>2020</v>
      </c>
      <c r="D358" s="7">
        <v>582.95092772999999</v>
      </c>
      <c r="E358" s="11">
        <v>78.019000000000005</v>
      </c>
      <c r="F358" s="10">
        <f>Table1[[#This Row],[Life expectancy at birth, total (years) '[SP.DYN.LE00.IN']]]/Table1[[#This Row],[Current health expenditure per capita (current US$) '[SH.XPD.CHEX.PC.CD']]]</f>
        <v>0.13383459273974319</v>
      </c>
      <c r="G358" s="4">
        <f>Table1[[#This Row],[Life expectancy at birth, total (years) '[SP.DYN.LE00.IN']]]/Table1[[#This Row],[Current health expenditure per capita (current US$) '[SH.XPD.CHEX.PC.CD']]]*1000</f>
        <v>133.83459273974319</v>
      </c>
    </row>
    <row r="359" spans="1:7" x14ac:dyDescent="0.25">
      <c r="A359" s="5" t="s">
        <v>273</v>
      </c>
      <c r="B359" s="6" t="s">
        <v>135</v>
      </c>
      <c r="C359" s="5">
        <v>2021</v>
      </c>
      <c r="D359" s="7">
        <v>670.25897216999999</v>
      </c>
      <c r="E359" s="11">
        <v>78.117000000000004</v>
      </c>
      <c r="F359" s="10">
        <f>Table1[[#This Row],[Life expectancy at birth, total (years) '[SP.DYN.LE00.IN']]]/Table1[[#This Row],[Current health expenditure per capita (current US$) '[SH.XPD.CHEX.PC.CD']]]</f>
        <v>0.11654748872229484</v>
      </c>
      <c r="G359" s="4">
        <f>Table1[[#This Row],[Life expectancy at birth, total (years) '[SP.DYN.LE00.IN']]]/Table1[[#This Row],[Current health expenditure per capita (current US$) '[SH.XPD.CHEX.PC.CD']]]*1000</f>
        <v>116.54748872229484</v>
      </c>
    </row>
    <row r="360" spans="1:7" x14ac:dyDescent="0.25">
      <c r="A360" s="5" t="s">
        <v>273</v>
      </c>
      <c r="B360" s="6" t="s">
        <v>135</v>
      </c>
      <c r="C360" s="5">
        <v>2022</v>
      </c>
      <c r="D360" s="7">
        <v>755.43597411999997</v>
      </c>
      <c r="E360" s="11">
        <v>78.201999999999998</v>
      </c>
      <c r="F360" s="10">
        <f>Table1[[#This Row],[Life expectancy at birth, total (years) '[SP.DYN.LE00.IN']]]/Table1[[#This Row],[Current health expenditure per capita (current US$) '[SH.XPD.CHEX.PC.CD']]]</f>
        <v>0.10351903096896696</v>
      </c>
      <c r="G360" s="4">
        <f>Table1[[#This Row],[Life expectancy at birth, total (years) '[SP.DYN.LE00.IN']]]/Table1[[#This Row],[Current health expenditure per capita (current US$) '[SH.XPD.CHEX.PC.CD']]]*1000</f>
        <v>103.51903096896696</v>
      </c>
    </row>
    <row r="361" spans="1:7" x14ac:dyDescent="0.25">
      <c r="A361" s="5" t="s">
        <v>273</v>
      </c>
      <c r="B361" s="6" t="s">
        <v>135</v>
      </c>
      <c r="C361" s="5">
        <v>2023</v>
      </c>
      <c r="D361" s="7">
        <v>763.37762451000003</v>
      </c>
      <c r="E361" s="11">
        <v>77.953000000000003</v>
      </c>
      <c r="F361" s="10">
        <f>Table1[[#This Row],[Life expectancy at birth, total (years) '[SP.DYN.LE00.IN']]]/Table1[[#This Row],[Current health expenditure per capita (current US$) '[SH.XPD.CHEX.PC.CD']]]</f>
        <v>0.10211590895140107</v>
      </c>
      <c r="G361" s="4">
        <f>Table1[[#This Row],[Life expectancy at birth, total (years) '[SP.DYN.LE00.IN']]]/Table1[[#This Row],[Current health expenditure per capita (current US$) '[SH.XPD.CHEX.PC.CD']]]*1000</f>
        <v>102.11590895140107</v>
      </c>
    </row>
    <row r="362" spans="1:7" hidden="1" x14ac:dyDescent="0.25">
      <c r="B362" s="1"/>
      <c r="D362" s="3"/>
      <c r="E362"/>
      <c r="F362" t="e">
        <f>Table1[[#This Row],[Life expectancy at birth, total (years) '[SP.DYN.LE00.IN']]]/Table1[[#This Row],[Current health expenditure per capita (current US$) '[SH.XPD.CHEX.PC.CD']]]</f>
        <v>#DIV/0!</v>
      </c>
      <c r="G362" s="2" t="e">
        <f>Table1[[#This Row],[Life expectancy at birth, total (years) '[SP.DYN.LE00.IN']]]/Table1[[#This Row],[Current health expenditure per capita (current US$) '[SH.XPD.CHEX.PC.CD']]]*1000</f>
        <v>#DIV/0!</v>
      </c>
    </row>
    <row r="363" spans="1:7" x14ac:dyDescent="0.25">
      <c r="A363" s="5" t="s">
        <v>332</v>
      </c>
      <c r="B363" s="6" t="s">
        <v>223</v>
      </c>
      <c r="C363" s="5">
        <v>2015</v>
      </c>
      <c r="D363" s="7">
        <v>470.09982300000001</v>
      </c>
      <c r="E363" s="11">
        <v>76.066999999999993</v>
      </c>
      <c r="F363" s="10">
        <f>Table1[[#This Row],[Life expectancy at birth, total (years) '[SP.DYN.LE00.IN']]]/Table1[[#This Row],[Current health expenditure per capita (current US$) '[SH.XPD.CHEX.PC.CD']]]</f>
        <v>0.16181031406174343</v>
      </c>
      <c r="G363" s="4">
        <f>Table1[[#This Row],[Life expectancy at birth, total (years) '[SP.DYN.LE00.IN']]]/Table1[[#This Row],[Current health expenditure per capita (current US$) '[SH.XPD.CHEX.PC.CD']]]*1000</f>
        <v>161.81031406174344</v>
      </c>
    </row>
    <row r="364" spans="1:7" x14ac:dyDescent="0.25">
      <c r="A364" s="5" t="s">
        <v>332</v>
      </c>
      <c r="B364" s="6" t="s">
        <v>223</v>
      </c>
      <c r="C364" s="5">
        <v>2016</v>
      </c>
      <c r="D364" s="7">
        <v>448.84588623000002</v>
      </c>
      <c r="E364" s="11">
        <v>76.227999999999994</v>
      </c>
      <c r="F364" s="10">
        <f>Table1[[#This Row],[Life expectancy at birth, total (years) '[SP.DYN.LE00.IN']]]/Table1[[#This Row],[Current health expenditure per capita (current US$) '[SH.XPD.CHEX.PC.CD']]]</f>
        <v>0.1698311209672953</v>
      </c>
      <c r="G364" s="4">
        <f>Table1[[#This Row],[Life expectancy at birth, total (years) '[SP.DYN.LE00.IN']]]/Table1[[#This Row],[Current health expenditure per capita (current US$) '[SH.XPD.CHEX.PC.CD']]]*1000</f>
        <v>169.83112096729531</v>
      </c>
    </row>
    <row r="365" spans="1:7" x14ac:dyDescent="0.25">
      <c r="A365" s="5" t="s">
        <v>332</v>
      </c>
      <c r="B365" s="6" t="s">
        <v>223</v>
      </c>
      <c r="C365" s="5">
        <v>2017</v>
      </c>
      <c r="D365" s="7">
        <v>497.54016113</v>
      </c>
      <c r="E365" s="11">
        <v>76.418000000000006</v>
      </c>
      <c r="F365" s="10">
        <f>Table1[[#This Row],[Life expectancy at birth, total (years) '[SP.DYN.LE00.IN']]]/Table1[[#This Row],[Current health expenditure per capita (current US$) '[SH.XPD.CHEX.PC.CD']]]</f>
        <v>0.15359162128026305</v>
      </c>
      <c r="G365" s="4">
        <f>Table1[[#This Row],[Life expectancy at birth, total (years) '[SP.DYN.LE00.IN']]]/Table1[[#This Row],[Current health expenditure per capita (current US$) '[SH.XPD.CHEX.PC.CD']]]*1000</f>
        <v>153.59162128026304</v>
      </c>
    </row>
    <row r="366" spans="1:7" x14ac:dyDescent="0.25">
      <c r="A366" s="5" t="s">
        <v>332</v>
      </c>
      <c r="B366" s="6" t="s">
        <v>223</v>
      </c>
      <c r="C366" s="5">
        <v>2018</v>
      </c>
      <c r="D366" s="7">
        <v>526.11828613</v>
      </c>
      <c r="E366" s="11">
        <v>76.578999999999994</v>
      </c>
      <c r="F366" s="10">
        <f>Table1[[#This Row],[Life expectancy at birth, total (years) '[SP.DYN.LE00.IN']]]/Table1[[#This Row],[Current health expenditure per capita (current US$) '[SH.XPD.CHEX.PC.CD']]]</f>
        <v>0.14555472033351427</v>
      </c>
      <c r="G366" s="4">
        <f>Table1[[#This Row],[Life expectancy at birth, total (years) '[SP.DYN.LE00.IN']]]/Table1[[#This Row],[Current health expenditure per capita (current US$) '[SH.XPD.CHEX.PC.CD']]]*1000</f>
        <v>145.55472033351427</v>
      </c>
    </row>
    <row r="367" spans="1:7" x14ac:dyDescent="0.25">
      <c r="A367" s="5" t="s">
        <v>332</v>
      </c>
      <c r="B367" s="6" t="s">
        <v>223</v>
      </c>
      <c r="C367" s="5">
        <v>2019</v>
      </c>
      <c r="D367" s="7">
        <v>507.06231688999998</v>
      </c>
      <c r="E367" s="11">
        <v>76.793000000000006</v>
      </c>
      <c r="F367" s="10">
        <f>Table1[[#This Row],[Life expectancy at birth, total (years) '[SP.DYN.LE00.IN']]]/Table1[[#This Row],[Current health expenditure per capita (current US$) '[SH.XPD.CHEX.PC.CD']]]</f>
        <v>0.15144686844607141</v>
      </c>
      <c r="G367" s="4">
        <f>Table1[[#This Row],[Life expectancy at birth, total (years) '[SP.DYN.LE00.IN']]]/Table1[[#This Row],[Current health expenditure per capita (current US$) '[SH.XPD.CHEX.PC.CD']]]*1000</f>
        <v>151.44686844607142</v>
      </c>
    </row>
    <row r="368" spans="1:7" x14ac:dyDescent="0.25">
      <c r="A368" s="5" t="s">
        <v>332</v>
      </c>
      <c r="B368" s="6" t="s">
        <v>223</v>
      </c>
      <c r="C368" s="5">
        <v>2020</v>
      </c>
      <c r="D368" s="7">
        <v>464.41998290999999</v>
      </c>
      <c r="E368" s="11">
        <v>74.757000000000005</v>
      </c>
      <c r="F368" s="10">
        <f>Table1[[#This Row],[Life expectancy at birth, total (years) '[SP.DYN.LE00.IN']]]/Table1[[#This Row],[Current health expenditure per capita (current US$) '[SH.XPD.CHEX.PC.CD']]]</f>
        <v>0.16096852579766616</v>
      </c>
      <c r="G368" s="4">
        <f>Table1[[#This Row],[Life expectancy at birth, total (years) '[SP.DYN.LE00.IN']]]/Table1[[#This Row],[Current health expenditure per capita (current US$) '[SH.XPD.CHEX.PC.CD']]]*1000</f>
        <v>160.96852579766616</v>
      </c>
    </row>
    <row r="369" spans="1:7" x14ac:dyDescent="0.25">
      <c r="A369" s="5" t="s">
        <v>332</v>
      </c>
      <c r="B369" s="6" t="s">
        <v>223</v>
      </c>
      <c r="C369" s="5">
        <v>2021</v>
      </c>
      <c r="D369" s="7">
        <v>568.84130859000004</v>
      </c>
      <c r="E369" s="11">
        <v>72.697999999999993</v>
      </c>
      <c r="F369" s="10">
        <f>Table1[[#This Row],[Life expectancy at birth, total (years) '[SP.DYN.LE00.IN']]]/Table1[[#This Row],[Current health expenditure per capita (current US$) '[SH.XPD.CHEX.PC.CD']]]</f>
        <v>0.12780014197667569</v>
      </c>
      <c r="G369" s="4">
        <f>Table1[[#This Row],[Life expectancy at birth, total (years) '[SP.DYN.LE00.IN']]]/Table1[[#This Row],[Current health expenditure per capita (current US$) '[SH.XPD.CHEX.PC.CD']]]*1000</f>
        <v>127.80014197667569</v>
      </c>
    </row>
    <row r="370" spans="1:7" x14ac:dyDescent="0.25">
      <c r="A370" s="5" t="s">
        <v>332</v>
      </c>
      <c r="B370" s="6" t="s">
        <v>223</v>
      </c>
      <c r="C370" s="5">
        <v>2022</v>
      </c>
      <c r="D370" s="7">
        <v>507.07064818999999</v>
      </c>
      <c r="E370" s="11">
        <v>76.507999999999996</v>
      </c>
      <c r="F370" s="10">
        <f>Table1[[#This Row],[Life expectancy at birth, total (years) '[SP.DYN.LE00.IN']]]/Table1[[#This Row],[Current health expenditure per capita (current US$) '[SH.XPD.CHEX.PC.CD']]]</f>
        <v>0.15088232827732587</v>
      </c>
      <c r="G370" s="4">
        <f>Table1[[#This Row],[Life expectancy at birth, total (years) '[SP.DYN.LE00.IN']]]/Table1[[#This Row],[Current health expenditure per capita (current US$) '[SH.XPD.CHEX.PC.CD']]]*1000</f>
        <v>150.88232827732585</v>
      </c>
    </row>
    <row r="371" spans="1:7" x14ac:dyDescent="0.25">
      <c r="A371" s="5" t="s">
        <v>332</v>
      </c>
      <c r="B371" s="6" t="s">
        <v>223</v>
      </c>
      <c r="C371" s="5">
        <v>2023</v>
      </c>
      <c r="D371" s="7">
        <v>571.15496826000003</v>
      </c>
      <c r="E371" s="11">
        <v>77.724999999999994</v>
      </c>
      <c r="F371" s="10">
        <f>Table1[[#This Row],[Life expectancy at birth, total (years) '[SP.DYN.LE00.IN']]]/Table1[[#This Row],[Current health expenditure per capita (current US$) '[SH.XPD.CHEX.PC.CD']]]</f>
        <v>0.13608390772960618</v>
      </c>
      <c r="G371" s="4">
        <f>Table1[[#This Row],[Life expectancy at birth, total (years) '[SP.DYN.LE00.IN']]]/Table1[[#This Row],[Current health expenditure per capita (current US$) '[SH.XPD.CHEX.PC.CD']]]*1000</f>
        <v>136.08390772960618</v>
      </c>
    </row>
    <row r="372" spans="1:7" hidden="1" x14ac:dyDescent="0.25">
      <c r="B372" s="1"/>
      <c r="D372" s="3"/>
      <c r="E372"/>
      <c r="F372" t="e">
        <f>Table1[[#This Row],[Life expectancy at birth, total (years) '[SP.DYN.LE00.IN']]]/Table1[[#This Row],[Current health expenditure per capita (current US$) '[SH.XPD.CHEX.PC.CD']]]</f>
        <v>#DIV/0!</v>
      </c>
      <c r="G372" s="2" t="e">
        <f>Table1[[#This Row],[Life expectancy at birth, total (years) '[SP.DYN.LE00.IN']]]/Table1[[#This Row],[Current health expenditure per capita (current US$) '[SH.XPD.CHEX.PC.CD']]]*1000</f>
        <v>#DIV/0!</v>
      </c>
    </row>
    <row r="373" spans="1:7" x14ac:dyDescent="0.25">
      <c r="A373" s="5" t="s">
        <v>388</v>
      </c>
      <c r="B373" s="6" t="s">
        <v>112</v>
      </c>
      <c r="C373" s="5">
        <v>2015</v>
      </c>
      <c r="D373" s="7">
        <v>61.16300201</v>
      </c>
      <c r="E373" s="11">
        <v>64.472999999999999</v>
      </c>
      <c r="F373" s="10">
        <f>Table1[[#This Row],[Life expectancy at birth, total (years) '[SP.DYN.LE00.IN']]]/Table1[[#This Row],[Current health expenditure per capita (current US$) '[SH.XPD.CHEX.PC.CD']]]</f>
        <v>1.0541176508873586</v>
      </c>
      <c r="G373" s="4">
        <f>Table1[[#This Row],[Life expectancy at birth, total (years) '[SP.DYN.LE00.IN']]]/Table1[[#This Row],[Current health expenditure per capita (current US$) '[SH.XPD.CHEX.PC.CD']]]*1000</f>
        <v>1054.1176508873586</v>
      </c>
    </row>
    <row r="374" spans="1:7" x14ac:dyDescent="0.25">
      <c r="A374" s="5" t="s">
        <v>388</v>
      </c>
      <c r="B374" s="6" t="s">
        <v>112</v>
      </c>
      <c r="C374" s="5">
        <v>2016</v>
      </c>
      <c r="D374" s="7">
        <v>63.530994419999999</v>
      </c>
      <c r="E374" s="11">
        <v>64.792000000000002</v>
      </c>
      <c r="F374" s="10">
        <f>Table1[[#This Row],[Life expectancy at birth, total (years) '[SP.DYN.LE00.IN']]]/Table1[[#This Row],[Current health expenditure per capita (current US$) '[SH.XPD.CHEX.PC.CD']]]</f>
        <v>1.0198486674340963</v>
      </c>
      <c r="G374" s="4">
        <f>Table1[[#This Row],[Life expectancy at birth, total (years) '[SP.DYN.LE00.IN']]]/Table1[[#This Row],[Current health expenditure per capita (current US$) '[SH.XPD.CHEX.PC.CD']]]*1000</f>
        <v>1019.8486674340963</v>
      </c>
    </row>
    <row r="375" spans="1:7" x14ac:dyDescent="0.25">
      <c r="A375" s="5" t="s">
        <v>388</v>
      </c>
      <c r="B375" s="6" t="s">
        <v>112</v>
      </c>
      <c r="C375" s="5">
        <v>2017</v>
      </c>
      <c r="D375" s="7">
        <v>75.013374330000005</v>
      </c>
      <c r="E375" s="11">
        <v>65.126999999999995</v>
      </c>
      <c r="F375" s="10">
        <f>Table1[[#This Row],[Life expectancy at birth, total (years) '[SP.DYN.LE00.IN']]]/Table1[[#This Row],[Current health expenditure per capita (current US$) '[SH.XPD.CHEX.PC.CD']]]</f>
        <v>0.86820517783258599</v>
      </c>
      <c r="G375" s="4">
        <f>Table1[[#This Row],[Life expectancy at birth, total (years) '[SP.DYN.LE00.IN']]]/Table1[[#This Row],[Current health expenditure per capita (current US$) '[SH.XPD.CHEX.PC.CD']]]*1000</f>
        <v>868.20517783258595</v>
      </c>
    </row>
    <row r="376" spans="1:7" x14ac:dyDescent="0.25">
      <c r="A376" s="5" t="s">
        <v>388</v>
      </c>
      <c r="B376" s="6" t="s">
        <v>112</v>
      </c>
      <c r="C376" s="5">
        <v>2018</v>
      </c>
      <c r="D376" s="7">
        <v>74.891525270000002</v>
      </c>
      <c r="E376" s="11">
        <v>65.400999999999996</v>
      </c>
      <c r="F376" s="10">
        <f>Table1[[#This Row],[Life expectancy at birth, total (years) '[SP.DYN.LE00.IN']]]/Table1[[#This Row],[Current health expenditure per capita (current US$) '[SH.XPD.CHEX.PC.CD']]]</f>
        <v>0.87327637892559096</v>
      </c>
      <c r="G376" s="4">
        <f>Table1[[#This Row],[Life expectancy at birth, total (years) '[SP.DYN.LE00.IN']]]/Table1[[#This Row],[Current health expenditure per capita (current US$) '[SH.XPD.CHEX.PC.CD']]]*1000</f>
        <v>873.27637892559096</v>
      </c>
    </row>
    <row r="377" spans="1:7" x14ac:dyDescent="0.25">
      <c r="A377" s="5" t="s">
        <v>388</v>
      </c>
      <c r="B377" s="6" t="s">
        <v>112</v>
      </c>
      <c r="C377" s="5">
        <v>2019</v>
      </c>
      <c r="D377" s="7">
        <v>78.236747739999998</v>
      </c>
      <c r="E377" s="11">
        <v>65.662000000000006</v>
      </c>
      <c r="F377" s="10">
        <f>Table1[[#This Row],[Life expectancy at birth, total (years) '[SP.DYN.LE00.IN']]]/Table1[[#This Row],[Current health expenditure per capita (current US$) '[SH.XPD.CHEX.PC.CD']]]</f>
        <v>0.83927312799620735</v>
      </c>
      <c r="G377" s="4">
        <f>Table1[[#This Row],[Life expectancy at birth, total (years) '[SP.DYN.LE00.IN']]]/Table1[[#This Row],[Current health expenditure per capita (current US$) '[SH.XPD.CHEX.PC.CD']]]*1000</f>
        <v>839.27312799620734</v>
      </c>
    </row>
    <row r="378" spans="1:7" x14ac:dyDescent="0.25">
      <c r="A378" s="5" t="s">
        <v>388</v>
      </c>
      <c r="B378" s="6" t="s">
        <v>112</v>
      </c>
      <c r="C378" s="5">
        <v>2020</v>
      </c>
      <c r="D378" s="7">
        <v>89.678176879999995</v>
      </c>
      <c r="E378" s="11">
        <v>65.756</v>
      </c>
      <c r="F378" s="10">
        <f>Table1[[#This Row],[Life expectancy at birth, total (years) '[SP.DYN.LE00.IN']]]/Table1[[#This Row],[Current health expenditure per capita (current US$) '[SH.XPD.CHEX.PC.CD']]]</f>
        <v>0.73324416583523222</v>
      </c>
      <c r="G378" s="4">
        <f>Table1[[#This Row],[Life expectancy at birth, total (years) '[SP.DYN.LE00.IN']]]/Table1[[#This Row],[Current health expenditure per capita (current US$) '[SH.XPD.CHEX.PC.CD']]]*1000</f>
        <v>733.24416583523225</v>
      </c>
    </row>
    <row r="379" spans="1:7" x14ac:dyDescent="0.25">
      <c r="A379" s="5" t="s">
        <v>388</v>
      </c>
      <c r="B379" s="6" t="s">
        <v>112</v>
      </c>
      <c r="C379" s="5">
        <v>2021</v>
      </c>
      <c r="D379" s="7">
        <v>100.50016785</v>
      </c>
      <c r="E379" s="11">
        <v>65.200999999999993</v>
      </c>
      <c r="F379" s="10">
        <f>Table1[[#This Row],[Life expectancy at birth, total (years) '[SP.DYN.LE00.IN']]]/Table1[[#This Row],[Current health expenditure per capita (current US$) '[SH.XPD.CHEX.PC.CD']]]</f>
        <v>0.64876508561970525</v>
      </c>
      <c r="G379" s="4">
        <f>Table1[[#This Row],[Life expectancy at birth, total (years) '[SP.DYN.LE00.IN']]]/Table1[[#This Row],[Current health expenditure per capita (current US$) '[SH.XPD.CHEX.PC.CD']]]*1000</f>
        <v>648.76508561970525</v>
      </c>
    </row>
    <row r="380" spans="1:7" x14ac:dyDescent="0.25">
      <c r="A380" s="5" t="s">
        <v>388</v>
      </c>
      <c r="B380" s="6" t="s">
        <v>112</v>
      </c>
      <c r="C380" s="5">
        <v>2022</v>
      </c>
      <c r="D380" s="7">
        <v>124.14363861</v>
      </c>
      <c r="E380" s="11">
        <v>66.480999999999995</v>
      </c>
      <c r="F380" s="10">
        <f>Table1[[#This Row],[Life expectancy at birth, total (years) '[SP.DYN.LE00.IN']]]/Table1[[#This Row],[Current health expenditure per capita (current US$) '[SH.XPD.CHEX.PC.CD']]]</f>
        <v>0.53551676706409046</v>
      </c>
      <c r="G380" s="4">
        <f>Table1[[#This Row],[Life expectancy at birth, total (years) '[SP.DYN.LE00.IN']]]/Table1[[#This Row],[Current health expenditure per capita (current US$) '[SH.XPD.CHEX.PC.CD']]]*1000</f>
        <v>535.51676706409046</v>
      </c>
    </row>
    <row r="381" spans="1:7" x14ac:dyDescent="0.25">
      <c r="A381" s="5" t="s">
        <v>388</v>
      </c>
      <c r="B381" s="6" t="s">
        <v>112</v>
      </c>
      <c r="C381" s="5">
        <v>2023</v>
      </c>
      <c r="D381" s="7">
        <v>102.23101807</v>
      </c>
      <c r="E381" s="11">
        <v>66.777000000000001</v>
      </c>
      <c r="F381" s="10">
        <f>Table1[[#This Row],[Life expectancy at birth, total (years) '[SP.DYN.LE00.IN']]]/Table1[[#This Row],[Current health expenditure per capita (current US$) '[SH.XPD.CHEX.PC.CD']]]</f>
        <v>0.65319705565561526</v>
      </c>
      <c r="G381" s="4">
        <f>Table1[[#This Row],[Life expectancy at birth, total (years) '[SP.DYN.LE00.IN']]]/Table1[[#This Row],[Current health expenditure per capita (current US$) '[SH.XPD.CHEX.PC.CD']]]*1000</f>
        <v>653.19705565561526</v>
      </c>
    </row>
    <row r="382" spans="1:7" hidden="1" x14ac:dyDescent="0.25">
      <c r="B382" s="1"/>
      <c r="D382" s="3"/>
      <c r="E382"/>
      <c r="F382" t="e">
        <f>Table1[[#This Row],[Life expectancy at birth, total (years) '[SP.DYN.LE00.IN']]]/Table1[[#This Row],[Current health expenditure per capita (current US$) '[SH.XPD.CHEX.PC.CD']]]</f>
        <v>#DIV/0!</v>
      </c>
      <c r="G382" s="2" t="e">
        <f>Table1[[#This Row],[Life expectancy at birth, total (years) '[SP.DYN.LE00.IN']]]/Table1[[#This Row],[Current health expenditure per capita (current US$) '[SH.XPD.CHEX.PC.CD']]]*1000</f>
        <v>#DIV/0!</v>
      </c>
    </row>
    <row r="383" spans="1:7" x14ac:dyDescent="0.25">
      <c r="A383" s="5" t="s">
        <v>163</v>
      </c>
      <c r="B383" s="6" t="s">
        <v>308</v>
      </c>
      <c r="C383" s="5">
        <v>2015</v>
      </c>
      <c r="D383" s="7">
        <v>18.57252884</v>
      </c>
      <c r="E383" s="11">
        <v>58.658000000000001</v>
      </c>
      <c r="F383" s="10">
        <f>Table1[[#This Row],[Life expectancy at birth, total (years) '[SP.DYN.LE00.IN']]]/Table1[[#This Row],[Current health expenditure per capita (current US$) '[SH.XPD.CHEX.PC.CD']]]</f>
        <v>3.1583205768762719</v>
      </c>
      <c r="G383" s="4">
        <f>Table1[[#This Row],[Life expectancy at birth, total (years) '[SP.DYN.LE00.IN']]]/Table1[[#This Row],[Current health expenditure per capita (current US$) '[SH.XPD.CHEX.PC.CD']]]*1000</f>
        <v>3158.3205768762718</v>
      </c>
    </row>
    <row r="384" spans="1:7" x14ac:dyDescent="0.25">
      <c r="A384" s="5" t="s">
        <v>163</v>
      </c>
      <c r="B384" s="6" t="s">
        <v>308</v>
      </c>
      <c r="C384" s="5">
        <v>2016</v>
      </c>
      <c r="D384" s="7">
        <v>19.311410899999998</v>
      </c>
      <c r="E384" s="11">
        <v>59.081000000000003</v>
      </c>
      <c r="F384" s="10">
        <f>Table1[[#This Row],[Life expectancy at birth, total (years) '[SP.DYN.LE00.IN']]]/Table1[[#This Row],[Current health expenditure per capita (current US$) '[SH.XPD.CHEX.PC.CD']]]</f>
        <v>3.0593828853799598</v>
      </c>
      <c r="G384" s="4">
        <f>Table1[[#This Row],[Life expectancy at birth, total (years) '[SP.DYN.LE00.IN']]]/Table1[[#This Row],[Current health expenditure per capita (current US$) '[SH.XPD.CHEX.PC.CD']]]*1000</f>
        <v>3059.38288537996</v>
      </c>
    </row>
    <row r="385" spans="1:7" x14ac:dyDescent="0.25">
      <c r="A385" s="5" t="s">
        <v>163</v>
      </c>
      <c r="B385" s="6" t="s">
        <v>308</v>
      </c>
      <c r="C385" s="5">
        <v>2017</v>
      </c>
      <c r="D385" s="7">
        <v>18.146488189999999</v>
      </c>
      <c r="E385" s="11">
        <v>59.494999999999997</v>
      </c>
      <c r="F385" s="10">
        <f>Table1[[#This Row],[Life expectancy at birth, total (years) '[SP.DYN.LE00.IN']]]/Table1[[#This Row],[Current health expenditure per capita (current US$) '[SH.XPD.CHEX.PC.CD']]]</f>
        <v>3.2785958019572048</v>
      </c>
      <c r="G385" s="4">
        <f>Table1[[#This Row],[Life expectancy at birth, total (years) '[SP.DYN.LE00.IN']]]/Table1[[#This Row],[Current health expenditure per capita (current US$) '[SH.XPD.CHEX.PC.CD']]]*1000</f>
        <v>3278.5958019572049</v>
      </c>
    </row>
    <row r="386" spans="1:7" x14ac:dyDescent="0.25">
      <c r="A386" s="5" t="s">
        <v>163</v>
      </c>
      <c r="B386" s="6" t="s">
        <v>308</v>
      </c>
      <c r="C386" s="5">
        <v>2018</v>
      </c>
      <c r="D386" s="7">
        <v>17.29077148</v>
      </c>
      <c r="E386" s="11">
        <v>59.926000000000002</v>
      </c>
      <c r="F386" s="10">
        <f>Table1[[#This Row],[Life expectancy at birth, total (years) '[SP.DYN.LE00.IN']]]/Table1[[#This Row],[Current health expenditure per capita (current US$) '[SH.XPD.CHEX.PC.CD']]]</f>
        <v>3.4657794228161301</v>
      </c>
      <c r="G386" s="4">
        <f>Table1[[#This Row],[Life expectancy at birth, total (years) '[SP.DYN.LE00.IN']]]/Table1[[#This Row],[Current health expenditure per capita (current US$) '[SH.XPD.CHEX.PC.CD']]]*1000</f>
        <v>3465.7794228161301</v>
      </c>
    </row>
    <row r="387" spans="1:7" x14ac:dyDescent="0.25">
      <c r="A387" s="5" t="s">
        <v>163</v>
      </c>
      <c r="B387" s="6" t="s">
        <v>308</v>
      </c>
      <c r="C387" s="5">
        <v>2019</v>
      </c>
      <c r="D387" s="7">
        <v>19.208120350000002</v>
      </c>
      <c r="E387" s="11">
        <v>60.241999999999997</v>
      </c>
      <c r="F387" s="10">
        <f>Table1[[#This Row],[Life expectancy at birth, total (years) '[SP.DYN.LE00.IN']]]/Table1[[#This Row],[Current health expenditure per capita (current US$) '[SH.XPD.CHEX.PC.CD']]]</f>
        <v>3.136277725373581</v>
      </c>
      <c r="G387" s="4">
        <f>Table1[[#This Row],[Life expectancy at birth, total (years) '[SP.DYN.LE00.IN']]]/Table1[[#This Row],[Current health expenditure per capita (current US$) '[SH.XPD.CHEX.PC.CD']]]*1000</f>
        <v>3136.2777253735808</v>
      </c>
    </row>
    <row r="388" spans="1:7" x14ac:dyDescent="0.25">
      <c r="A388" s="5" t="s">
        <v>163</v>
      </c>
      <c r="B388" s="6" t="s">
        <v>308</v>
      </c>
      <c r="C388" s="5">
        <v>2020</v>
      </c>
      <c r="D388" s="7">
        <v>20.559307100000002</v>
      </c>
      <c r="E388" s="11">
        <v>60.427999999999997</v>
      </c>
      <c r="F388" s="10">
        <f>Table1[[#This Row],[Life expectancy at birth, total (years) '[SP.DYN.LE00.IN']]]/Table1[[#This Row],[Current health expenditure per capita (current US$) '[SH.XPD.CHEX.PC.CD']]]</f>
        <v>2.9392041135471922</v>
      </c>
      <c r="G388" s="4">
        <f>Table1[[#This Row],[Life expectancy at birth, total (years) '[SP.DYN.LE00.IN']]]/Table1[[#This Row],[Current health expenditure per capita (current US$) '[SH.XPD.CHEX.PC.CD']]]*1000</f>
        <v>2939.2041135471923</v>
      </c>
    </row>
    <row r="389" spans="1:7" x14ac:dyDescent="0.25">
      <c r="A389" s="5" t="s">
        <v>163</v>
      </c>
      <c r="B389" s="6" t="s">
        <v>308</v>
      </c>
      <c r="C389" s="5">
        <v>2021</v>
      </c>
      <c r="D389" s="7">
        <v>21.588485720000001</v>
      </c>
      <c r="E389" s="11">
        <v>60.043999999999997</v>
      </c>
      <c r="F389" s="10">
        <f>Table1[[#This Row],[Life expectancy at birth, total (years) '[SP.DYN.LE00.IN']]]/Table1[[#This Row],[Current health expenditure per capita (current US$) '[SH.XPD.CHEX.PC.CD']]]</f>
        <v>2.7812974369190724</v>
      </c>
      <c r="G389" s="4">
        <f>Table1[[#This Row],[Life expectancy at birth, total (years) '[SP.DYN.LE00.IN']]]/Table1[[#This Row],[Current health expenditure per capita (current US$) '[SH.XPD.CHEX.PC.CD']]]*1000</f>
        <v>2781.2974369190724</v>
      </c>
    </row>
    <row r="390" spans="1:7" x14ac:dyDescent="0.25">
      <c r="A390" s="5" t="s">
        <v>163</v>
      </c>
      <c r="B390" s="6" t="s">
        <v>308</v>
      </c>
      <c r="C390" s="5">
        <v>2022</v>
      </c>
      <c r="D390" s="7">
        <v>24.380010599999999</v>
      </c>
      <c r="E390" s="11">
        <v>60.978999999999999</v>
      </c>
      <c r="F390" s="10">
        <f>Table1[[#This Row],[Life expectancy at birth, total (years) '[SP.DYN.LE00.IN']]]/Table1[[#This Row],[Current health expenditure per capita (current US$) '[SH.XPD.CHEX.PC.CD']]]</f>
        <v>2.5011884121166053</v>
      </c>
      <c r="G390" s="4">
        <f>Table1[[#This Row],[Life expectancy at birth, total (years) '[SP.DYN.LE00.IN']]]/Table1[[#This Row],[Current health expenditure per capita (current US$) '[SH.XPD.CHEX.PC.CD']]]*1000</f>
        <v>2501.1884121166054</v>
      </c>
    </row>
    <row r="391" spans="1:7" x14ac:dyDescent="0.25">
      <c r="A391" s="5" t="s">
        <v>163</v>
      </c>
      <c r="B391" s="6" t="s">
        <v>308</v>
      </c>
      <c r="C391" s="5">
        <v>2023</v>
      </c>
      <c r="D391" s="7">
        <v>23.431488040000001</v>
      </c>
      <c r="E391" s="11">
        <v>61.895000000000003</v>
      </c>
      <c r="F391" s="10">
        <f>Table1[[#This Row],[Life expectancy at birth, total (years) '[SP.DYN.LE00.IN']]]/Table1[[#This Row],[Current health expenditure per capita (current US$) '[SH.XPD.CHEX.PC.CD']]]</f>
        <v>2.641530913202728</v>
      </c>
      <c r="G391" s="4">
        <f>Table1[[#This Row],[Life expectancy at birth, total (years) '[SP.DYN.LE00.IN']]]/Table1[[#This Row],[Current health expenditure per capita (current US$) '[SH.XPD.CHEX.PC.CD']]]*1000</f>
        <v>2641.5309132027282</v>
      </c>
    </row>
    <row r="392" spans="1:7" hidden="1" x14ac:dyDescent="0.25">
      <c r="B392" s="1"/>
      <c r="D392" s="3"/>
      <c r="E392"/>
      <c r="F392" t="e">
        <f>Table1[[#This Row],[Life expectancy at birth, total (years) '[SP.DYN.LE00.IN']]]/Table1[[#This Row],[Current health expenditure per capita (current US$) '[SH.XPD.CHEX.PC.CD']]]</f>
        <v>#DIV/0!</v>
      </c>
      <c r="G392" s="2" t="e">
        <f>Table1[[#This Row],[Life expectancy at birth, total (years) '[SP.DYN.LE00.IN']]]/Table1[[#This Row],[Current health expenditure per capita (current US$) '[SH.XPD.CHEX.PC.CD']]]*1000</f>
        <v>#DIV/0!</v>
      </c>
    </row>
    <row r="393" spans="1:7" x14ac:dyDescent="0.25">
      <c r="A393" s="5" t="s">
        <v>115</v>
      </c>
      <c r="B393" s="6" t="s">
        <v>405</v>
      </c>
      <c r="C393" s="5">
        <v>2015</v>
      </c>
      <c r="D393" s="7">
        <v>57.302906040000003</v>
      </c>
      <c r="E393" s="11">
        <v>63.661999999999999</v>
      </c>
      <c r="F393" s="10">
        <f>Table1[[#This Row],[Life expectancy at birth, total (years) '[SP.DYN.LE00.IN']]]/Table1[[#This Row],[Current health expenditure per capita (current US$) '[SH.XPD.CHEX.PC.CD']]]</f>
        <v>1.1109733240328346</v>
      </c>
      <c r="G393" s="4">
        <f>Table1[[#This Row],[Life expectancy at birth, total (years) '[SP.DYN.LE00.IN']]]/Table1[[#This Row],[Current health expenditure per capita (current US$) '[SH.XPD.CHEX.PC.CD']]]*1000</f>
        <v>1110.9733240328346</v>
      </c>
    </row>
    <row r="394" spans="1:7" x14ac:dyDescent="0.25">
      <c r="A394" s="5" t="s">
        <v>115</v>
      </c>
      <c r="B394" s="6" t="s">
        <v>405</v>
      </c>
      <c r="C394" s="5">
        <v>2016</v>
      </c>
      <c r="D394" s="7">
        <v>54.300014500000003</v>
      </c>
      <c r="E394" s="11">
        <v>63.911000000000001</v>
      </c>
      <c r="F394" s="10">
        <f>Table1[[#This Row],[Life expectancy at birth, total (years) '[SP.DYN.LE00.IN']]]/Table1[[#This Row],[Current health expenditure per capita (current US$) '[SH.XPD.CHEX.PC.CD']]]</f>
        <v>1.1769978440797653</v>
      </c>
      <c r="G394" s="4">
        <f>Table1[[#This Row],[Life expectancy at birth, total (years) '[SP.DYN.LE00.IN']]]/Table1[[#This Row],[Current health expenditure per capita (current US$) '[SH.XPD.CHEX.PC.CD']]]*1000</f>
        <v>1176.9978440797652</v>
      </c>
    </row>
    <row r="395" spans="1:7" x14ac:dyDescent="0.25">
      <c r="A395" s="5" t="s">
        <v>115</v>
      </c>
      <c r="B395" s="6" t="s">
        <v>405</v>
      </c>
      <c r="C395" s="5">
        <v>2017</v>
      </c>
      <c r="D395" s="7">
        <v>52.299823760000002</v>
      </c>
      <c r="E395" s="11">
        <v>64.203000000000003</v>
      </c>
      <c r="F395" s="10">
        <f>Table1[[#This Row],[Life expectancy at birth, total (years) '[SP.DYN.LE00.IN']]]/Table1[[#This Row],[Current health expenditure per capita (current US$) '[SH.XPD.CHEX.PC.CD']]]</f>
        <v>1.2275949589165498</v>
      </c>
      <c r="G395" s="4">
        <f>Table1[[#This Row],[Life expectancy at birth, total (years) '[SP.DYN.LE00.IN']]]/Table1[[#This Row],[Current health expenditure per capita (current US$) '[SH.XPD.CHEX.PC.CD']]]*1000</f>
        <v>1227.5949589165498</v>
      </c>
    </row>
    <row r="396" spans="1:7" x14ac:dyDescent="0.25">
      <c r="A396" s="5" t="s">
        <v>115</v>
      </c>
      <c r="B396" s="6" t="s">
        <v>405</v>
      </c>
      <c r="C396" s="5">
        <v>2018</v>
      </c>
      <c r="D396" s="7">
        <v>47.310214999999999</v>
      </c>
      <c r="E396" s="11">
        <v>64.471999999999994</v>
      </c>
      <c r="F396" s="10">
        <f>Table1[[#This Row],[Life expectancy at birth, total (years) '[SP.DYN.LE00.IN']]]/Table1[[#This Row],[Current health expenditure per capita (current US$) '[SH.XPD.CHEX.PC.CD']]]</f>
        <v>1.3627500953018286</v>
      </c>
      <c r="G396" s="4">
        <f>Table1[[#This Row],[Life expectancy at birth, total (years) '[SP.DYN.LE00.IN']]]/Table1[[#This Row],[Current health expenditure per capita (current US$) '[SH.XPD.CHEX.PC.CD']]]*1000</f>
        <v>1362.7500953018287</v>
      </c>
    </row>
    <row r="397" spans="1:7" x14ac:dyDescent="0.25">
      <c r="A397" s="5" t="s">
        <v>115</v>
      </c>
      <c r="B397" s="6" t="s">
        <v>405</v>
      </c>
      <c r="C397" s="5">
        <v>2019</v>
      </c>
      <c r="D397" s="7">
        <v>58.421066279999998</v>
      </c>
      <c r="E397" s="11">
        <v>63.152000000000001</v>
      </c>
      <c r="F397" s="10">
        <f>Table1[[#This Row],[Life expectancy at birth, total (years) '[SP.DYN.LE00.IN']]]/Table1[[#This Row],[Current health expenditure per capita (current US$) '[SH.XPD.CHEX.PC.CD']]]</f>
        <v>1.0809799276398966</v>
      </c>
      <c r="G397" s="4">
        <f>Table1[[#This Row],[Life expectancy at birth, total (years) '[SP.DYN.LE00.IN']]]/Table1[[#This Row],[Current health expenditure per capita (current US$) '[SH.XPD.CHEX.PC.CD']]]*1000</f>
        <v>1080.9799276398967</v>
      </c>
    </row>
    <row r="398" spans="1:7" x14ac:dyDescent="0.25">
      <c r="A398" s="5" t="s">
        <v>115</v>
      </c>
      <c r="B398" s="6" t="s">
        <v>405</v>
      </c>
      <c r="C398" s="5">
        <v>2020</v>
      </c>
      <c r="D398" s="7">
        <v>80.097351070000002</v>
      </c>
      <c r="E398" s="11">
        <v>64.391000000000005</v>
      </c>
      <c r="F398" s="10">
        <f>Table1[[#This Row],[Life expectancy at birth, total (years) '[SP.DYN.LE00.IN']]]/Table1[[#This Row],[Current health expenditure per capita (current US$) '[SH.XPD.CHEX.PC.CD']]]</f>
        <v>0.8039092322007797</v>
      </c>
      <c r="G398" s="4">
        <f>Table1[[#This Row],[Life expectancy at birth, total (years) '[SP.DYN.LE00.IN']]]/Table1[[#This Row],[Current health expenditure per capita (current US$) '[SH.XPD.CHEX.PC.CD']]]*1000</f>
        <v>803.90923220077968</v>
      </c>
    </row>
    <row r="399" spans="1:7" x14ac:dyDescent="0.25">
      <c r="A399" s="5" t="s">
        <v>115</v>
      </c>
      <c r="B399" s="6" t="s">
        <v>405</v>
      </c>
      <c r="C399" s="5">
        <v>2021</v>
      </c>
      <c r="D399" s="7">
        <v>78.601493840000003</v>
      </c>
      <c r="E399" s="11">
        <v>64.191999999999993</v>
      </c>
      <c r="F399" s="10">
        <f>Table1[[#This Row],[Life expectancy at birth, total (years) '[SP.DYN.LE00.IN']]]/Table1[[#This Row],[Current health expenditure per capita (current US$) '[SH.XPD.CHEX.PC.CD']]]</f>
        <v>0.81667659053234087</v>
      </c>
      <c r="G399" s="4">
        <f>Table1[[#This Row],[Life expectancy at birth, total (years) '[SP.DYN.LE00.IN']]]/Table1[[#This Row],[Current health expenditure per capita (current US$) '[SH.XPD.CHEX.PC.CD']]]*1000</f>
        <v>816.67659053234092</v>
      </c>
    </row>
    <row r="400" spans="1:7" x14ac:dyDescent="0.25">
      <c r="A400" s="5" t="s">
        <v>115</v>
      </c>
      <c r="B400" s="6" t="s">
        <v>405</v>
      </c>
      <c r="C400" s="5">
        <v>2022</v>
      </c>
      <c r="D400" s="7">
        <v>53.118923189999997</v>
      </c>
      <c r="E400" s="11">
        <v>65</v>
      </c>
      <c r="F400" s="10">
        <f>Table1[[#This Row],[Life expectancy at birth, total (years) '[SP.DYN.LE00.IN']]]/Table1[[#This Row],[Current health expenditure per capita (current US$) '[SH.XPD.CHEX.PC.CD']]]</f>
        <v>1.2236693836488894</v>
      </c>
      <c r="G400" s="4">
        <f>Table1[[#This Row],[Life expectancy at birth, total (years) '[SP.DYN.LE00.IN']]]/Table1[[#This Row],[Current health expenditure per capita (current US$) '[SH.XPD.CHEX.PC.CD']]]*1000</f>
        <v>1223.6693836488894</v>
      </c>
    </row>
    <row r="401" spans="1:7" x14ac:dyDescent="0.25">
      <c r="A401" s="5" t="s">
        <v>115</v>
      </c>
      <c r="B401" s="6" t="s">
        <v>405</v>
      </c>
      <c r="C401" s="5">
        <v>2023</v>
      </c>
      <c r="D401" s="7">
        <v>75.553321839999995</v>
      </c>
      <c r="E401" s="11">
        <v>65.772000000000006</v>
      </c>
      <c r="F401" s="10">
        <f>Table1[[#This Row],[Life expectancy at birth, total (years) '[SP.DYN.LE00.IN']]]/Table1[[#This Row],[Current health expenditure per capita (current US$) '[SH.XPD.CHEX.PC.CD']]]</f>
        <v>0.87053750117415096</v>
      </c>
      <c r="G401" s="4">
        <f>Table1[[#This Row],[Life expectancy at birth, total (years) '[SP.DYN.LE00.IN']]]/Table1[[#This Row],[Current health expenditure per capita (current US$) '[SH.XPD.CHEX.PC.CD']]]*1000</f>
        <v>870.53750117415098</v>
      </c>
    </row>
    <row r="402" spans="1:7" hidden="1" x14ac:dyDescent="0.25">
      <c r="B402" s="1"/>
      <c r="D402" s="3"/>
      <c r="E402"/>
      <c r="F402" t="e">
        <f>Table1[[#This Row],[Life expectancy at birth, total (years) '[SP.DYN.LE00.IN']]]/Table1[[#This Row],[Current health expenditure per capita (current US$) '[SH.XPD.CHEX.PC.CD']]]</f>
        <v>#DIV/0!</v>
      </c>
      <c r="G402" s="2" t="e">
        <f>Table1[[#This Row],[Life expectancy at birth, total (years) '[SP.DYN.LE00.IN']]]/Table1[[#This Row],[Current health expenditure per capita (current US$) '[SH.XPD.CHEX.PC.CD']]]*1000</f>
        <v>#DIV/0!</v>
      </c>
    </row>
    <row r="403" spans="1:7" x14ac:dyDescent="0.25">
      <c r="A403" s="5" t="s">
        <v>250</v>
      </c>
      <c r="B403" s="6" t="s">
        <v>46</v>
      </c>
      <c r="C403" s="5">
        <v>2015</v>
      </c>
      <c r="D403" s="7">
        <v>889.37622069999998</v>
      </c>
      <c r="E403" s="11">
        <v>80.406999999999996</v>
      </c>
      <c r="F403" s="10">
        <f>Table1[[#This Row],[Life expectancy at birth, total (years) '[SP.DYN.LE00.IN']]]/Table1[[#This Row],[Current health expenditure per capita (current US$) '[SH.XPD.CHEX.PC.CD']]]</f>
        <v>9.0408308799524884E-2</v>
      </c>
      <c r="G403" s="4">
        <f>Table1[[#This Row],[Life expectancy at birth, total (years) '[SP.DYN.LE00.IN']]]/Table1[[#This Row],[Current health expenditure per capita (current US$) '[SH.XPD.CHEX.PC.CD']]]*1000</f>
        <v>90.408308799524889</v>
      </c>
    </row>
    <row r="404" spans="1:7" x14ac:dyDescent="0.25">
      <c r="A404" s="5" t="s">
        <v>250</v>
      </c>
      <c r="B404" s="6" t="s">
        <v>46</v>
      </c>
      <c r="C404" s="5">
        <v>2016</v>
      </c>
      <c r="D404" s="7">
        <v>884.73028564000003</v>
      </c>
      <c r="E404" s="11">
        <v>79.988</v>
      </c>
      <c r="F404" s="10">
        <f>Table1[[#This Row],[Life expectancy at birth, total (years) '[SP.DYN.LE00.IN']]]/Table1[[#This Row],[Current health expenditure per capita (current US$) '[SH.XPD.CHEX.PC.CD']]]</f>
        <v>9.0409474275132254E-2</v>
      </c>
      <c r="G404" s="4">
        <f>Table1[[#This Row],[Life expectancy at birth, total (years) '[SP.DYN.LE00.IN']]]/Table1[[#This Row],[Current health expenditure per capita (current US$) '[SH.XPD.CHEX.PC.CD']]]*1000</f>
        <v>90.409474275132254</v>
      </c>
    </row>
    <row r="405" spans="1:7" x14ac:dyDescent="0.25">
      <c r="A405" s="5" t="s">
        <v>250</v>
      </c>
      <c r="B405" s="6" t="s">
        <v>46</v>
      </c>
      <c r="C405" s="5">
        <v>2017</v>
      </c>
      <c r="D405" s="7">
        <v>867.76733397999999</v>
      </c>
      <c r="E405" s="11">
        <v>79.994</v>
      </c>
      <c r="F405" s="10">
        <f>Table1[[#This Row],[Life expectancy at birth, total (years) '[SP.DYN.LE00.IN']]]/Table1[[#This Row],[Current health expenditure per capita (current US$) '[SH.XPD.CHEX.PC.CD']]]</f>
        <v>9.2183695868233356E-2</v>
      </c>
      <c r="G405" s="4">
        <f>Table1[[#This Row],[Life expectancy at birth, total (years) '[SP.DYN.LE00.IN']]]/Table1[[#This Row],[Current health expenditure per capita (current US$) '[SH.XPD.CHEX.PC.CD']]]*1000</f>
        <v>92.183695868233357</v>
      </c>
    </row>
    <row r="406" spans="1:7" x14ac:dyDescent="0.25">
      <c r="A406" s="5" t="s">
        <v>250</v>
      </c>
      <c r="B406" s="6" t="s">
        <v>46</v>
      </c>
      <c r="C406" s="5">
        <v>2018</v>
      </c>
      <c r="D406" s="7">
        <v>917.31018066000001</v>
      </c>
      <c r="E406" s="11">
        <v>80.09</v>
      </c>
      <c r="F406" s="10">
        <f>Table1[[#This Row],[Life expectancy at birth, total (years) '[SP.DYN.LE00.IN']]]/Table1[[#This Row],[Current health expenditure per capita (current US$) '[SH.XPD.CHEX.PC.CD']]]</f>
        <v>8.7309616407370144E-2</v>
      </c>
      <c r="G406" s="4">
        <f>Table1[[#This Row],[Life expectancy at birth, total (years) '[SP.DYN.LE00.IN']]]/Table1[[#This Row],[Current health expenditure per capita (current US$) '[SH.XPD.CHEX.PC.CD']]]*1000</f>
        <v>87.309616407370143</v>
      </c>
    </row>
    <row r="407" spans="1:7" x14ac:dyDescent="0.25">
      <c r="A407" s="5" t="s">
        <v>250</v>
      </c>
      <c r="B407" s="6" t="s">
        <v>46</v>
      </c>
      <c r="C407" s="5">
        <v>2019</v>
      </c>
      <c r="D407" s="7">
        <v>930.43511963000003</v>
      </c>
      <c r="E407" s="11">
        <v>80.296000000000006</v>
      </c>
      <c r="F407" s="10">
        <f>Table1[[#This Row],[Life expectancy at birth, total (years) '[SP.DYN.LE00.IN']]]/Table1[[#This Row],[Current health expenditure per capita (current US$) '[SH.XPD.CHEX.PC.CD']]]</f>
        <v>8.629940799303748E-2</v>
      </c>
      <c r="G407" s="4">
        <f>Table1[[#This Row],[Life expectancy at birth, total (years) '[SP.DYN.LE00.IN']]]/Table1[[#This Row],[Current health expenditure per capita (current US$) '[SH.XPD.CHEX.PC.CD']]]*1000</f>
        <v>86.299407993037477</v>
      </c>
    </row>
    <row r="408" spans="1:7" x14ac:dyDescent="0.25">
      <c r="A408" s="5" t="s">
        <v>250</v>
      </c>
      <c r="B408" s="6" t="s">
        <v>46</v>
      </c>
      <c r="C408" s="5">
        <v>2020</v>
      </c>
      <c r="D408" s="7">
        <v>969.89099121000004</v>
      </c>
      <c r="E408" s="11">
        <v>79.724999999999994</v>
      </c>
      <c r="F408" s="10">
        <f>Table1[[#This Row],[Life expectancy at birth, total (years) '[SP.DYN.LE00.IN']]]/Table1[[#This Row],[Current health expenditure per capita (current US$) '[SH.XPD.CHEX.PC.CD']]]</f>
        <v>8.2199959297011349E-2</v>
      </c>
      <c r="G408" s="4">
        <f>Table1[[#This Row],[Life expectancy at birth, total (years) '[SP.DYN.LE00.IN']]]/Table1[[#This Row],[Current health expenditure per capita (current US$) '[SH.XPD.CHEX.PC.CD']]]*1000</f>
        <v>82.199959297011347</v>
      </c>
    </row>
    <row r="409" spans="1:7" x14ac:dyDescent="0.25">
      <c r="A409" s="5" t="s">
        <v>250</v>
      </c>
      <c r="B409" s="6" t="s">
        <v>46</v>
      </c>
      <c r="C409" s="5">
        <v>2021</v>
      </c>
      <c r="D409" s="7">
        <v>977.14831543000003</v>
      </c>
      <c r="E409" s="11">
        <v>78.05</v>
      </c>
      <c r="F409" s="10">
        <f>Table1[[#This Row],[Life expectancy at birth, total (years) '[SP.DYN.LE00.IN']]]/Table1[[#This Row],[Current health expenditure per capita (current US$) '[SH.XPD.CHEX.PC.CD']]]</f>
        <v>7.9875284813496941E-2</v>
      </c>
      <c r="G409" s="4">
        <f>Table1[[#This Row],[Life expectancy at birth, total (years) '[SP.DYN.LE00.IN']]]/Table1[[#This Row],[Current health expenditure per capita (current US$) '[SH.XPD.CHEX.PC.CD']]]*1000</f>
        <v>79.875284813496947</v>
      </c>
    </row>
    <row r="410" spans="1:7" x14ac:dyDescent="0.25">
      <c r="A410" s="5" t="s">
        <v>250</v>
      </c>
      <c r="B410" s="6" t="s">
        <v>46</v>
      </c>
      <c r="C410" s="5">
        <v>2022</v>
      </c>
      <c r="D410" s="7">
        <v>978.84155272999999</v>
      </c>
      <c r="E410" s="11">
        <v>79.316000000000003</v>
      </c>
      <c r="F410" s="10">
        <f>Table1[[#This Row],[Life expectancy at birth, total (years) '[SP.DYN.LE00.IN']]]/Table1[[#This Row],[Current health expenditure per capita (current US$) '[SH.XPD.CHEX.PC.CD']]]</f>
        <v>8.1030479119717377E-2</v>
      </c>
      <c r="G410" s="4">
        <f>Table1[[#This Row],[Life expectancy at birth, total (years) '[SP.DYN.LE00.IN']]]/Table1[[#This Row],[Current health expenditure per capita (current US$) '[SH.XPD.CHEX.PC.CD']]]*1000</f>
        <v>81.030479119717384</v>
      </c>
    </row>
    <row r="411" spans="1:7" x14ac:dyDescent="0.25">
      <c r="A411" s="5" t="s">
        <v>250</v>
      </c>
      <c r="B411" s="6" t="s">
        <v>46</v>
      </c>
      <c r="C411" s="5">
        <v>2023</v>
      </c>
      <c r="D411" s="7">
        <v>1163.3022460899999</v>
      </c>
      <c r="E411" s="11">
        <v>80.799000000000007</v>
      </c>
      <c r="F411" s="10">
        <f>Table1[[#This Row],[Life expectancy at birth, total (years) '[SP.DYN.LE00.IN']]]/Table1[[#This Row],[Current health expenditure per capita (current US$) '[SH.XPD.CHEX.PC.CD']]]</f>
        <v>6.9456583851338086E-2</v>
      </c>
      <c r="G411" s="4">
        <f>Table1[[#This Row],[Life expectancy at birth, total (years) '[SP.DYN.LE00.IN']]]/Table1[[#This Row],[Current health expenditure per capita (current US$) '[SH.XPD.CHEX.PC.CD']]]*1000</f>
        <v>69.456583851338081</v>
      </c>
    </row>
    <row r="412" spans="1:7" hidden="1" x14ac:dyDescent="0.25">
      <c r="B412" s="1"/>
      <c r="D412" s="3"/>
      <c r="E412"/>
      <c r="F412" t="e">
        <f>Table1[[#This Row],[Life expectancy at birth, total (years) '[SP.DYN.LE00.IN']]]/Table1[[#This Row],[Current health expenditure per capita (current US$) '[SH.XPD.CHEX.PC.CD']]]</f>
        <v>#DIV/0!</v>
      </c>
      <c r="G412" s="2" t="e">
        <f>Table1[[#This Row],[Life expectancy at birth, total (years) '[SP.DYN.LE00.IN']]]/Table1[[#This Row],[Current health expenditure per capita (current US$) '[SH.XPD.CHEX.PC.CD']]]*1000</f>
        <v>#DIV/0!</v>
      </c>
    </row>
    <row r="413" spans="1:7" x14ac:dyDescent="0.25">
      <c r="A413" s="5" t="s">
        <v>150</v>
      </c>
      <c r="B413" s="6" t="s">
        <v>152</v>
      </c>
      <c r="C413" s="5">
        <v>2015</v>
      </c>
      <c r="D413" s="7">
        <v>58.431819920000002</v>
      </c>
      <c r="E413" s="11">
        <v>58.280999999999999</v>
      </c>
      <c r="F413" s="10">
        <f>Table1[[#This Row],[Life expectancy at birth, total (years) '[SP.DYN.LE00.IN']]]/Table1[[#This Row],[Current health expenditure per capita (current US$) '[SH.XPD.CHEX.PC.CD']]]</f>
        <v>0.99741887348012614</v>
      </c>
      <c r="G413" s="4">
        <f>Table1[[#This Row],[Life expectancy at birth, total (years) '[SP.DYN.LE00.IN']]]/Table1[[#This Row],[Current health expenditure per capita (current US$) '[SH.XPD.CHEX.PC.CD']]]*1000</f>
        <v>997.41887348012619</v>
      </c>
    </row>
    <row r="414" spans="1:7" x14ac:dyDescent="0.25">
      <c r="A414" s="5" t="s">
        <v>150</v>
      </c>
      <c r="B414" s="6" t="s">
        <v>152</v>
      </c>
      <c r="C414" s="5">
        <v>2016</v>
      </c>
      <c r="D414" s="7">
        <v>61.85705566</v>
      </c>
      <c r="E414" s="11">
        <v>58.814</v>
      </c>
      <c r="F414" s="10">
        <f>Table1[[#This Row],[Life expectancy at birth, total (years) '[SP.DYN.LE00.IN']]]/Table1[[#This Row],[Current health expenditure per capita (current US$) '[SH.XPD.CHEX.PC.CD']]]</f>
        <v>0.95080503545583728</v>
      </c>
      <c r="G414" s="4">
        <f>Table1[[#This Row],[Life expectancy at birth, total (years) '[SP.DYN.LE00.IN']]]/Table1[[#This Row],[Current health expenditure per capita (current US$) '[SH.XPD.CHEX.PC.CD']]]*1000</f>
        <v>950.80503545583724</v>
      </c>
    </row>
    <row r="415" spans="1:7" x14ac:dyDescent="0.25">
      <c r="A415" s="5" t="s">
        <v>150</v>
      </c>
      <c r="B415" s="6" t="s">
        <v>152</v>
      </c>
      <c r="C415" s="5">
        <v>2017</v>
      </c>
      <c r="D415" s="7">
        <v>63.779430390000002</v>
      </c>
      <c r="E415" s="11">
        <v>59.314999999999998</v>
      </c>
      <c r="F415" s="10">
        <f>Table1[[#This Row],[Life expectancy at birth, total (years) '[SP.DYN.LE00.IN']]]/Table1[[#This Row],[Current health expenditure per capita (current US$) '[SH.XPD.CHEX.PC.CD']]]</f>
        <v>0.93000203415582738</v>
      </c>
      <c r="G415" s="4">
        <f>Table1[[#This Row],[Life expectancy at birth, total (years) '[SP.DYN.LE00.IN']]]/Table1[[#This Row],[Current health expenditure per capita (current US$) '[SH.XPD.CHEX.PC.CD']]]*1000</f>
        <v>930.00203415582735</v>
      </c>
    </row>
    <row r="416" spans="1:7" x14ac:dyDescent="0.25">
      <c r="A416" s="5" t="s">
        <v>150</v>
      </c>
      <c r="B416" s="6" t="s">
        <v>152</v>
      </c>
      <c r="C416" s="5">
        <v>2018</v>
      </c>
      <c r="D416" s="7">
        <v>65.879524230000001</v>
      </c>
      <c r="E416" s="11">
        <v>59.795000000000002</v>
      </c>
      <c r="F416" s="10">
        <f>Table1[[#This Row],[Life expectancy at birth, total (years) '[SP.DYN.LE00.IN']]]/Table1[[#This Row],[Current health expenditure per capita (current US$) '[SH.XPD.CHEX.PC.CD']]]</f>
        <v>0.90764164888687449</v>
      </c>
      <c r="G416" s="4">
        <f>Table1[[#This Row],[Life expectancy at birth, total (years) '[SP.DYN.LE00.IN']]]/Table1[[#This Row],[Current health expenditure per capita (current US$) '[SH.XPD.CHEX.PC.CD']]]*1000</f>
        <v>907.64164888687446</v>
      </c>
    </row>
    <row r="417" spans="1:7" x14ac:dyDescent="0.25">
      <c r="A417" s="5" t="s">
        <v>150</v>
      </c>
      <c r="B417" s="6" t="s">
        <v>152</v>
      </c>
      <c r="C417" s="5">
        <v>2019</v>
      </c>
      <c r="D417" s="7">
        <v>68.304710389999997</v>
      </c>
      <c r="E417" s="11">
        <v>60.274000000000001</v>
      </c>
      <c r="F417" s="10">
        <f>Table1[[#This Row],[Life expectancy at birth, total (years) '[SP.DYN.LE00.IN']]]/Table1[[#This Row],[Current health expenditure per capita (current US$) '[SH.XPD.CHEX.PC.CD']]]</f>
        <v>0.88242816133547775</v>
      </c>
      <c r="G417" s="4">
        <f>Table1[[#This Row],[Life expectancy at birth, total (years) '[SP.DYN.LE00.IN']]]/Table1[[#This Row],[Current health expenditure per capita (current US$) '[SH.XPD.CHEX.PC.CD']]]*1000</f>
        <v>882.42816133547774</v>
      </c>
    </row>
    <row r="418" spans="1:7" x14ac:dyDescent="0.25">
      <c r="A418" s="5" t="s">
        <v>150</v>
      </c>
      <c r="B418" s="6" t="s">
        <v>152</v>
      </c>
      <c r="C418" s="5">
        <v>2020</v>
      </c>
      <c r="D418" s="7">
        <v>78.97766876</v>
      </c>
      <c r="E418" s="11">
        <v>60.14</v>
      </c>
      <c r="F418" s="10">
        <f>Table1[[#This Row],[Life expectancy at birth, total (years) '[SP.DYN.LE00.IN']]]/Table1[[#This Row],[Current health expenditure per capita (current US$) '[SH.XPD.CHEX.PC.CD']]]</f>
        <v>0.7614810736279829</v>
      </c>
      <c r="G418" s="4">
        <f>Table1[[#This Row],[Life expectancy at birth, total (years) '[SP.DYN.LE00.IN']]]/Table1[[#This Row],[Current health expenditure per capita (current US$) '[SH.XPD.CHEX.PC.CD']]]*1000</f>
        <v>761.48107362798294</v>
      </c>
    </row>
    <row r="419" spans="1:7" x14ac:dyDescent="0.25">
      <c r="A419" s="5" t="s">
        <v>150</v>
      </c>
      <c r="B419" s="6" t="s">
        <v>152</v>
      </c>
      <c r="C419" s="5">
        <v>2021</v>
      </c>
      <c r="D419" s="7">
        <v>92.395889280000006</v>
      </c>
      <c r="E419" s="11">
        <v>60.29</v>
      </c>
      <c r="F419" s="10">
        <f>Table1[[#This Row],[Life expectancy at birth, total (years) '[SP.DYN.LE00.IN']]]/Table1[[#This Row],[Current health expenditure per capita (current US$) '[SH.XPD.CHEX.PC.CD']]]</f>
        <v>0.65251820692254936</v>
      </c>
      <c r="G419" s="4">
        <f>Table1[[#This Row],[Life expectancy at birth, total (years) '[SP.DYN.LE00.IN']]]/Table1[[#This Row],[Current health expenditure per capita (current US$) '[SH.XPD.CHEX.PC.CD']]]*1000</f>
        <v>652.51820692254933</v>
      </c>
    </row>
    <row r="420" spans="1:7" x14ac:dyDescent="0.25">
      <c r="A420" s="5" t="s">
        <v>150</v>
      </c>
      <c r="B420" s="6" t="s">
        <v>152</v>
      </c>
      <c r="C420" s="5">
        <v>2022</v>
      </c>
      <c r="D420" s="7">
        <v>84.899154659999994</v>
      </c>
      <c r="E420" s="11">
        <v>61.561999999999998</v>
      </c>
      <c r="F420" s="10">
        <f>Table1[[#This Row],[Life expectancy at birth, total (years) '[SP.DYN.LE00.IN']]]/Table1[[#This Row],[Current health expenditure per capita (current US$) '[SH.XPD.CHEX.PC.CD']]]</f>
        <v>0.72511911628025627</v>
      </c>
      <c r="G420" s="4">
        <f>Table1[[#This Row],[Life expectancy at birth, total (years) '[SP.DYN.LE00.IN']]]/Table1[[#This Row],[Current health expenditure per capita (current US$) '[SH.XPD.CHEX.PC.CD']]]*1000</f>
        <v>725.11911628025632</v>
      </c>
    </row>
    <row r="421" spans="1:7" x14ac:dyDescent="0.25">
      <c r="A421" s="5" t="s">
        <v>150</v>
      </c>
      <c r="B421" s="6" t="s">
        <v>152</v>
      </c>
      <c r="C421" s="5">
        <v>2023</v>
      </c>
      <c r="D421" s="7">
        <v>87.681053160000005</v>
      </c>
      <c r="E421" s="11">
        <v>61.944000000000003</v>
      </c>
      <c r="F421" s="10">
        <f>Table1[[#This Row],[Life expectancy at birth, total (years) '[SP.DYN.LE00.IN']]]/Table1[[#This Row],[Current health expenditure per capita (current US$) '[SH.XPD.CHEX.PC.CD']]]</f>
        <v>0.70646961649701967</v>
      </c>
      <c r="G421" s="4">
        <f>Table1[[#This Row],[Life expectancy at birth, total (years) '[SP.DYN.LE00.IN']]]/Table1[[#This Row],[Current health expenditure per capita (current US$) '[SH.XPD.CHEX.PC.CD']]]*1000</f>
        <v>706.46961649701962</v>
      </c>
    </row>
    <row r="422" spans="1:7" hidden="1" x14ac:dyDescent="0.25">
      <c r="B422" s="1"/>
      <c r="D422" s="3"/>
      <c r="E422"/>
      <c r="F422" t="e">
        <f>Table1[[#This Row],[Life expectancy at birth, total (years) '[SP.DYN.LE00.IN']]]/Table1[[#This Row],[Current health expenditure per capita (current US$) '[SH.XPD.CHEX.PC.CD']]]</f>
        <v>#DIV/0!</v>
      </c>
      <c r="G422" s="2" t="e">
        <f>Table1[[#This Row],[Life expectancy at birth, total (years) '[SP.DYN.LE00.IN']]]/Table1[[#This Row],[Current health expenditure per capita (current US$) '[SH.XPD.CHEX.PC.CD']]]*1000</f>
        <v>#DIV/0!</v>
      </c>
    </row>
    <row r="423" spans="1:7" x14ac:dyDescent="0.25">
      <c r="A423" s="5" t="s">
        <v>406</v>
      </c>
      <c r="B423" s="6" t="s">
        <v>6</v>
      </c>
      <c r="C423" s="5">
        <v>2015</v>
      </c>
      <c r="D423" s="7">
        <v>803.41619873000002</v>
      </c>
      <c r="E423" s="11">
        <v>77.27560975609758</v>
      </c>
      <c r="F423" s="10">
        <f>Table1[[#This Row],[Life expectancy at birth, total (years) '[SP.DYN.LE00.IN']]]/Table1[[#This Row],[Current health expenditure per capita (current US$) '[SH.XPD.CHEX.PC.CD']]]</f>
        <v>9.6183783546125889E-2</v>
      </c>
      <c r="G423" s="4">
        <f>Table1[[#This Row],[Life expectancy at birth, total (years) '[SP.DYN.LE00.IN']]]/Table1[[#This Row],[Current health expenditure per capita (current US$) '[SH.XPD.CHEX.PC.CD']]]*1000</f>
        <v>96.183783546125895</v>
      </c>
    </row>
    <row r="424" spans="1:7" x14ac:dyDescent="0.25">
      <c r="A424" s="5" t="s">
        <v>406</v>
      </c>
      <c r="B424" s="6" t="s">
        <v>6</v>
      </c>
      <c r="C424" s="5">
        <v>2016</v>
      </c>
      <c r="D424" s="7">
        <v>851.92492675999995</v>
      </c>
      <c r="E424" s="11">
        <v>77.921951219512209</v>
      </c>
      <c r="F424" s="10">
        <f>Table1[[#This Row],[Life expectancy at birth, total (years) '[SP.DYN.LE00.IN']]]/Table1[[#This Row],[Current health expenditure per capita (current US$) '[SH.XPD.CHEX.PC.CD']]]</f>
        <v>9.1465748649779785E-2</v>
      </c>
      <c r="G424" s="4">
        <f>Table1[[#This Row],[Life expectancy at birth, total (years) '[SP.DYN.LE00.IN']]]/Table1[[#This Row],[Current health expenditure per capita (current US$) '[SH.XPD.CHEX.PC.CD']]]*1000</f>
        <v>91.465748649779783</v>
      </c>
    </row>
    <row r="425" spans="1:7" x14ac:dyDescent="0.25">
      <c r="A425" s="5" t="s">
        <v>406</v>
      </c>
      <c r="B425" s="6" t="s">
        <v>6</v>
      </c>
      <c r="C425" s="5">
        <v>2017</v>
      </c>
      <c r="D425" s="7">
        <v>919.22418213000003</v>
      </c>
      <c r="E425" s="11">
        <v>77.72682926829269</v>
      </c>
      <c r="F425" s="10">
        <f>Table1[[#This Row],[Life expectancy at birth, total (years) '[SP.DYN.LE00.IN']]]/Table1[[#This Row],[Current health expenditure per capita (current US$) '[SH.XPD.CHEX.PC.CD']]]</f>
        <v>8.4556989229968141E-2</v>
      </c>
      <c r="G425" s="4">
        <f>Table1[[#This Row],[Life expectancy at birth, total (years) '[SP.DYN.LE00.IN']]]/Table1[[#This Row],[Current health expenditure per capita (current US$) '[SH.XPD.CHEX.PC.CD']]]*1000</f>
        <v>84.556989229968138</v>
      </c>
    </row>
    <row r="426" spans="1:7" x14ac:dyDescent="0.25">
      <c r="A426" s="5" t="s">
        <v>406</v>
      </c>
      <c r="B426" s="6" t="s">
        <v>6</v>
      </c>
      <c r="C426" s="5">
        <v>2018</v>
      </c>
      <c r="D426" s="7">
        <v>1045.14904785</v>
      </c>
      <c r="E426" s="11">
        <v>77.919512195121968</v>
      </c>
      <c r="F426" s="10">
        <f>Table1[[#This Row],[Life expectancy at birth, total (years) '[SP.DYN.LE00.IN']]]/Table1[[#This Row],[Current health expenditure per capita (current US$) '[SH.XPD.CHEX.PC.CD']]]</f>
        <v>7.4553492973477783E-2</v>
      </c>
      <c r="G426" s="4">
        <f>Table1[[#This Row],[Life expectancy at birth, total (years) '[SP.DYN.LE00.IN']]]/Table1[[#This Row],[Current health expenditure per capita (current US$) '[SH.XPD.CHEX.PC.CD']]]*1000</f>
        <v>74.553492973477788</v>
      </c>
    </row>
    <row r="427" spans="1:7" x14ac:dyDescent="0.25">
      <c r="A427" s="5" t="s">
        <v>406</v>
      </c>
      <c r="B427" s="6" t="s">
        <v>6</v>
      </c>
      <c r="C427" s="5">
        <v>2019</v>
      </c>
      <c r="D427" s="7">
        <v>1063.5444335899999</v>
      </c>
      <c r="E427" s="11">
        <v>78.224390243902448</v>
      </c>
      <c r="F427" s="10">
        <f>Table1[[#This Row],[Life expectancy at birth, total (years) '[SP.DYN.LE00.IN']]]/Table1[[#This Row],[Current health expenditure per capita (current US$) '[SH.XPD.CHEX.PC.CD']]]</f>
        <v>7.3550655499982825E-2</v>
      </c>
      <c r="G427" s="4">
        <f>Table1[[#This Row],[Life expectancy at birth, total (years) '[SP.DYN.LE00.IN']]]/Table1[[#This Row],[Current health expenditure per capita (current US$) '[SH.XPD.CHEX.PC.CD']]]*1000</f>
        <v>73.550655499982824</v>
      </c>
    </row>
    <row r="428" spans="1:7" x14ac:dyDescent="0.25">
      <c r="A428" s="5" t="s">
        <v>406</v>
      </c>
      <c r="B428" s="6" t="s">
        <v>6</v>
      </c>
      <c r="C428" s="5">
        <v>2020</v>
      </c>
      <c r="D428" s="7">
        <v>1123.3796386700001</v>
      </c>
      <c r="E428" s="11">
        <v>77.524390243902445</v>
      </c>
      <c r="F428" s="10">
        <f>Table1[[#This Row],[Life expectancy at birth, total (years) '[SP.DYN.LE00.IN']]]/Table1[[#This Row],[Current health expenditure per capita (current US$) '[SH.XPD.CHEX.PC.CD']]]</f>
        <v>6.9009965620959346E-2</v>
      </c>
      <c r="G428" s="4">
        <f>Table1[[#This Row],[Life expectancy at birth, total (years) '[SP.DYN.LE00.IN']]]/Table1[[#This Row],[Current health expenditure per capita (current US$) '[SH.XPD.CHEX.PC.CD']]]*1000</f>
        <v>69.009965620959349</v>
      </c>
    </row>
    <row r="429" spans="1:7" x14ac:dyDescent="0.25">
      <c r="A429" s="5" t="s">
        <v>406</v>
      </c>
      <c r="B429" s="6" t="s">
        <v>6</v>
      </c>
      <c r="C429" s="5">
        <v>2021</v>
      </c>
      <c r="D429" s="7">
        <v>1423.5290527300001</v>
      </c>
      <c r="E429" s="11">
        <v>76.424390243902451</v>
      </c>
      <c r="F429" s="10">
        <f>Table1[[#This Row],[Life expectancy at birth, total (years) '[SP.DYN.LE00.IN']]]/Table1[[#This Row],[Current health expenditure per capita (current US$) '[SH.XPD.CHEX.PC.CD']]]</f>
        <v>5.3686568670543194E-2</v>
      </c>
      <c r="G429" s="4">
        <f>Table1[[#This Row],[Life expectancy at birth, total (years) '[SP.DYN.LE00.IN']]]/Table1[[#This Row],[Current health expenditure per capita (current US$) '[SH.XPD.CHEX.PC.CD']]]*1000</f>
        <v>53.686568670543195</v>
      </c>
    </row>
    <row r="430" spans="1:7" x14ac:dyDescent="0.25">
      <c r="A430" s="5" t="s">
        <v>406</v>
      </c>
      <c r="B430" s="6" t="s">
        <v>6</v>
      </c>
      <c r="C430" s="5">
        <v>2022</v>
      </c>
      <c r="D430" s="7">
        <v>1328.80371094</v>
      </c>
      <c r="E430" s="11">
        <v>77.575609756097563</v>
      </c>
      <c r="F430" s="10">
        <f>Table1[[#This Row],[Life expectancy at birth, total (years) '[SP.DYN.LE00.IN']]]/Table1[[#This Row],[Current health expenditure per capita (current US$) '[SH.XPD.CHEX.PC.CD']]]</f>
        <v>5.838003695912343E-2</v>
      </c>
      <c r="G430" s="4">
        <f>Table1[[#This Row],[Life expectancy at birth, total (years) '[SP.DYN.LE00.IN']]]/Table1[[#This Row],[Current health expenditure per capita (current US$) '[SH.XPD.CHEX.PC.CD']]]*1000</f>
        <v>58.38003695912343</v>
      </c>
    </row>
    <row r="431" spans="1:7" x14ac:dyDescent="0.25">
      <c r="A431" s="5" t="s">
        <v>406</v>
      </c>
      <c r="B431" s="6" t="s">
        <v>6</v>
      </c>
      <c r="C431" s="5">
        <v>2023</v>
      </c>
      <c r="D431" s="7">
        <v>1548.3395996100001</v>
      </c>
      <c r="E431" s="11">
        <v>78.473170731707327</v>
      </c>
      <c r="F431" s="10">
        <f>Table1[[#This Row],[Life expectancy at birth, total (years) '[SP.DYN.LE00.IN']]]/Table1[[#This Row],[Current health expenditure per capita (current US$) '[SH.XPD.CHEX.PC.CD']]]</f>
        <v>5.0682144118430715E-2</v>
      </c>
      <c r="G431" s="4">
        <f>Table1[[#This Row],[Life expectancy at birth, total (years) '[SP.DYN.LE00.IN']]]/Table1[[#This Row],[Current health expenditure per capita (current US$) '[SH.XPD.CHEX.PC.CD']]]*1000</f>
        <v>50.682144118430713</v>
      </c>
    </row>
    <row r="432" spans="1:7" hidden="1" x14ac:dyDescent="0.25">
      <c r="B432" s="1"/>
      <c r="D432" s="3"/>
      <c r="E432"/>
      <c r="F432" t="e">
        <f>Table1[[#This Row],[Life expectancy at birth, total (years) '[SP.DYN.LE00.IN']]]/Table1[[#This Row],[Current health expenditure per capita (current US$) '[SH.XPD.CHEX.PC.CD']]]</f>
        <v>#DIV/0!</v>
      </c>
      <c r="G432" s="2" t="e">
        <f>Table1[[#This Row],[Life expectancy at birth, total (years) '[SP.DYN.LE00.IN']]]/Table1[[#This Row],[Current health expenditure per capita (current US$) '[SH.XPD.CHEX.PC.CD']]]*1000</f>
        <v>#DIV/0!</v>
      </c>
    </row>
    <row r="433" spans="1:7" x14ac:dyDescent="0.25">
      <c r="A433" s="5" t="s">
        <v>120</v>
      </c>
      <c r="B433" s="6" t="s">
        <v>297</v>
      </c>
      <c r="C433" s="5">
        <v>2015</v>
      </c>
      <c r="D433" s="7">
        <v>991.08496093999997</v>
      </c>
      <c r="E433" s="11">
        <v>77.745000000000005</v>
      </c>
      <c r="F433" s="10">
        <f>Table1[[#This Row],[Life expectancy at birth, total (years) '[SP.DYN.LE00.IN']]]/Table1[[#This Row],[Current health expenditure per capita (current US$) '[SH.XPD.CHEX.PC.CD']]]</f>
        <v>7.844433430435907E-2</v>
      </c>
      <c r="G433" s="4">
        <f>Table1[[#This Row],[Life expectancy at birth, total (years) '[SP.DYN.LE00.IN']]]/Table1[[#This Row],[Current health expenditure per capita (current US$) '[SH.XPD.CHEX.PC.CD']]]*1000</f>
        <v>78.444334304359074</v>
      </c>
    </row>
    <row r="434" spans="1:7" x14ac:dyDescent="0.25">
      <c r="A434" s="5" t="s">
        <v>120</v>
      </c>
      <c r="B434" s="6" t="s">
        <v>297</v>
      </c>
      <c r="C434" s="5">
        <v>2016</v>
      </c>
      <c r="D434" s="7">
        <v>990.92346191000001</v>
      </c>
      <c r="E434" s="11">
        <v>77.570999999999998</v>
      </c>
      <c r="F434" s="10">
        <f>Table1[[#This Row],[Life expectancy at birth, total (years) '[SP.DYN.LE00.IN']]]/Table1[[#This Row],[Current health expenditure per capita (current US$) '[SH.XPD.CHEX.PC.CD']]]</f>
        <v>7.8281525245635308E-2</v>
      </c>
      <c r="G434" s="4">
        <f>Table1[[#This Row],[Life expectancy at birth, total (years) '[SP.DYN.LE00.IN']]]/Table1[[#This Row],[Current health expenditure per capita (current US$) '[SH.XPD.CHEX.PC.CD']]]*1000</f>
        <v>78.281525245635308</v>
      </c>
    </row>
    <row r="435" spans="1:7" x14ac:dyDescent="0.25">
      <c r="A435" s="5" t="s">
        <v>120</v>
      </c>
      <c r="B435" s="6" t="s">
        <v>297</v>
      </c>
      <c r="C435" s="5">
        <v>2017</v>
      </c>
      <c r="D435" s="7">
        <v>987.81030272999999</v>
      </c>
      <c r="E435" s="11">
        <v>77.3</v>
      </c>
      <c r="F435" s="10">
        <f>Table1[[#This Row],[Life expectancy at birth, total (years) '[SP.DYN.LE00.IN']]]/Table1[[#This Row],[Current health expenditure per capita (current US$) '[SH.XPD.CHEX.PC.CD']]]</f>
        <v>7.8253891244469589E-2</v>
      </c>
      <c r="G435" s="4">
        <f>Table1[[#This Row],[Life expectancy at birth, total (years) '[SP.DYN.LE00.IN']]]/Table1[[#This Row],[Current health expenditure per capita (current US$) '[SH.XPD.CHEX.PC.CD']]]*1000</f>
        <v>78.253891244469585</v>
      </c>
    </row>
    <row r="436" spans="1:7" x14ac:dyDescent="0.25">
      <c r="A436" s="5" t="s">
        <v>120</v>
      </c>
      <c r="B436" s="6" t="s">
        <v>297</v>
      </c>
      <c r="C436" s="5">
        <v>2018</v>
      </c>
      <c r="D436" s="7">
        <v>981.90283203000001</v>
      </c>
      <c r="E436" s="11">
        <v>77.426000000000002</v>
      </c>
      <c r="F436" s="10">
        <f>Table1[[#This Row],[Life expectancy at birth, total (years) '[SP.DYN.LE00.IN']]]/Table1[[#This Row],[Current health expenditure per capita (current US$) '[SH.XPD.CHEX.PC.CD']]]</f>
        <v>7.8853016280570634E-2</v>
      </c>
      <c r="G436" s="4">
        <f>Table1[[#This Row],[Life expectancy at birth, total (years) '[SP.DYN.LE00.IN']]]/Table1[[#This Row],[Current health expenditure per capita (current US$) '[SH.XPD.CHEX.PC.CD']]]*1000</f>
        <v>78.853016280570628</v>
      </c>
    </row>
    <row r="437" spans="1:7" x14ac:dyDescent="0.25">
      <c r="A437" s="5" t="s">
        <v>120</v>
      </c>
      <c r="B437" s="6" t="s">
        <v>297</v>
      </c>
      <c r="C437" s="5">
        <v>2019</v>
      </c>
      <c r="D437" s="7">
        <v>1023.39715576</v>
      </c>
      <c r="E437" s="11">
        <v>77.412999999999997</v>
      </c>
      <c r="F437" s="10">
        <f>Table1[[#This Row],[Life expectancy at birth, total (years) '[SP.DYN.LE00.IN']]]/Table1[[#This Row],[Current health expenditure per capita (current US$) '[SH.XPD.CHEX.PC.CD']]]</f>
        <v>7.564316508434224E-2</v>
      </c>
      <c r="G437" s="4">
        <f>Table1[[#This Row],[Life expectancy at birth, total (years) '[SP.DYN.LE00.IN']]]/Table1[[#This Row],[Current health expenditure per capita (current US$) '[SH.XPD.CHEX.PC.CD']]]*1000</f>
        <v>75.643165084342243</v>
      </c>
    </row>
    <row r="438" spans="1:7" x14ac:dyDescent="0.25">
      <c r="A438" s="5" t="s">
        <v>120</v>
      </c>
      <c r="B438" s="6" t="s">
        <v>297</v>
      </c>
      <c r="C438" s="5">
        <v>2020</v>
      </c>
      <c r="D438" s="7">
        <v>1199.3532714800001</v>
      </c>
      <c r="E438" s="11">
        <v>77.406999999999996</v>
      </c>
      <c r="F438" s="10">
        <f>Table1[[#This Row],[Life expectancy at birth, total (years) '[SP.DYN.LE00.IN']]]/Table1[[#This Row],[Current health expenditure per capita (current US$) '[SH.XPD.CHEX.PC.CD']]]</f>
        <v>6.4540616881362964E-2</v>
      </c>
      <c r="G438" s="4">
        <f>Table1[[#This Row],[Life expectancy at birth, total (years) '[SP.DYN.LE00.IN']]]/Table1[[#This Row],[Current health expenditure per capita (current US$) '[SH.XPD.CHEX.PC.CD']]]*1000</f>
        <v>64.540616881362965</v>
      </c>
    </row>
    <row r="439" spans="1:7" x14ac:dyDescent="0.25">
      <c r="A439" s="5" t="s">
        <v>120</v>
      </c>
      <c r="B439" s="6" t="s">
        <v>297</v>
      </c>
      <c r="C439" s="5">
        <v>2021</v>
      </c>
      <c r="D439" s="7">
        <v>1382.3220969995812</v>
      </c>
      <c r="E439" s="11">
        <v>73.200999999999993</v>
      </c>
      <c r="F439" s="10">
        <f>Table1[[#This Row],[Life expectancy at birth, total (years) '[SP.DYN.LE00.IN']]]/Table1[[#This Row],[Current health expenditure per capita (current US$) '[SH.XPD.CHEX.PC.CD']]]</f>
        <v>5.2955096470560271E-2</v>
      </c>
      <c r="G439" s="4">
        <f>Table1[[#This Row],[Life expectancy at birth, total (years) '[SP.DYN.LE00.IN']]]/Table1[[#This Row],[Current health expenditure per capita (current US$) '[SH.XPD.CHEX.PC.CD']]]*1000</f>
        <v>52.955096470560271</v>
      </c>
    </row>
    <row r="440" spans="1:7" x14ac:dyDescent="0.25">
      <c r="A440" s="5" t="s">
        <v>120</v>
      </c>
      <c r="B440" s="6" t="s">
        <v>297</v>
      </c>
      <c r="C440" s="5">
        <v>2022</v>
      </c>
      <c r="D440" s="7">
        <v>1343.5051660862803</v>
      </c>
      <c r="E440" s="11">
        <v>77.629000000000005</v>
      </c>
      <c r="F440" s="10">
        <f>Table1[[#This Row],[Life expectancy at birth, total (years) '[SP.DYN.LE00.IN']]]/Table1[[#This Row],[Current health expenditure per capita (current US$) '[SH.XPD.CHEX.PC.CD']]]</f>
        <v>5.7780946407625981E-2</v>
      </c>
      <c r="G440" s="4">
        <f>Table1[[#This Row],[Life expectancy at birth, total (years) '[SP.DYN.LE00.IN']]]/Table1[[#This Row],[Current health expenditure per capita (current US$) '[SH.XPD.CHEX.PC.CD']]]*1000</f>
        <v>57.780946407625983</v>
      </c>
    </row>
    <row r="441" spans="1:7" x14ac:dyDescent="0.25">
      <c r="A441" s="5" t="s">
        <v>120</v>
      </c>
      <c r="B441" s="6" t="s">
        <v>297</v>
      </c>
      <c r="C441" s="5">
        <v>2023</v>
      </c>
      <c r="D441" s="7">
        <v>1408.5658459490091</v>
      </c>
      <c r="E441" s="11">
        <v>78.084999999999994</v>
      </c>
      <c r="F441" s="10">
        <f>Table1[[#This Row],[Life expectancy at birth, total (years) '[SP.DYN.LE00.IN']]]/Table1[[#This Row],[Current health expenditure per capita (current US$) '[SH.XPD.CHEX.PC.CD']]]</f>
        <v>5.5435818087290693E-2</v>
      </c>
      <c r="G441" s="4">
        <f>Table1[[#This Row],[Life expectancy at birth, total (years) '[SP.DYN.LE00.IN']]]/Table1[[#This Row],[Current health expenditure per capita (current US$) '[SH.XPD.CHEX.PC.CD']]]*1000</f>
        <v>55.435818087290691</v>
      </c>
    </row>
    <row r="442" spans="1:7" hidden="1" x14ac:dyDescent="0.25">
      <c r="B442" s="1"/>
      <c r="D442" s="3"/>
      <c r="E442"/>
      <c r="F442" t="e">
        <f>Table1[[#This Row],[Life expectancy at birth, total (years) '[SP.DYN.LE00.IN']]]/Table1[[#This Row],[Current health expenditure per capita (current US$) '[SH.XPD.CHEX.PC.CD']]]</f>
        <v>#DIV/0!</v>
      </c>
      <c r="G442" s="2" t="e">
        <f>Table1[[#This Row],[Life expectancy at birth, total (years) '[SP.DYN.LE00.IN']]]/Table1[[#This Row],[Current health expenditure per capita (current US$) '[SH.XPD.CHEX.PC.CD']]]*1000</f>
        <v>#DIV/0!</v>
      </c>
    </row>
    <row r="443" spans="1:7" x14ac:dyDescent="0.25">
      <c r="A443" s="5" t="s">
        <v>151</v>
      </c>
      <c r="B443" s="6" t="s">
        <v>380</v>
      </c>
      <c r="C443" s="5">
        <v>2015</v>
      </c>
      <c r="D443" s="7">
        <v>1570.5463867200001</v>
      </c>
      <c r="E443" s="11">
        <v>81.463999999999999</v>
      </c>
      <c r="F443" s="10">
        <f>Table1[[#This Row],[Life expectancy at birth, total (years) '[SP.DYN.LE00.IN']]]/Table1[[#This Row],[Current health expenditure per capita (current US$) '[SH.XPD.CHEX.PC.CD']]]</f>
        <v>5.1869846499811502E-2</v>
      </c>
      <c r="G443" s="4">
        <f>Table1[[#This Row],[Life expectancy at birth, total (years) '[SP.DYN.LE00.IN']]]/Table1[[#This Row],[Current health expenditure per capita (current US$) '[SH.XPD.CHEX.PC.CD']]]*1000</f>
        <v>51.869846499811501</v>
      </c>
    </row>
    <row r="444" spans="1:7" x14ac:dyDescent="0.25">
      <c r="A444" s="5" t="s">
        <v>151</v>
      </c>
      <c r="B444" s="6" t="s">
        <v>380</v>
      </c>
      <c r="C444" s="5">
        <v>2016</v>
      </c>
      <c r="D444" s="7">
        <v>1619.91918945</v>
      </c>
      <c r="E444" s="11">
        <v>81.534000000000006</v>
      </c>
      <c r="F444" s="10">
        <f>Table1[[#This Row],[Life expectancy at birth, total (years) '[SP.DYN.LE00.IN']]]/Table1[[#This Row],[Current health expenditure per capita (current US$) '[SH.XPD.CHEX.PC.CD']]]</f>
        <v>5.033214035058297E-2</v>
      </c>
      <c r="G444" s="4">
        <f>Table1[[#This Row],[Life expectancy at birth, total (years) '[SP.DYN.LE00.IN']]]/Table1[[#This Row],[Current health expenditure per capita (current US$) '[SH.XPD.CHEX.PC.CD']]]*1000</f>
        <v>50.332140350582968</v>
      </c>
    </row>
    <row r="445" spans="1:7" x14ac:dyDescent="0.25">
      <c r="A445" s="5" t="s">
        <v>151</v>
      </c>
      <c r="B445" s="6" t="s">
        <v>380</v>
      </c>
      <c r="C445" s="5">
        <v>2017</v>
      </c>
      <c r="D445" s="7">
        <v>1742.6762695299999</v>
      </c>
      <c r="E445" s="11">
        <v>81.543000000000006</v>
      </c>
      <c r="F445" s="10">
        <f>Table1[[#This Row],[Life expectancy at birth, total (years) '[SP.DYN.LE00.IN']]]/Table1[[#This Row],[Current health expenditure per capita (current US$) '[SH.XPD.CHEX.PC.CD']]]</f>
        <v>4.6791823258138569E-2</v>
      </c>
      <c r="G445" s="4">
        <f>Table1[[#This Row],[Life expectancy at birth, total (years) '[SP.DYN.LE00.IN']]]/Table1[[#This Row],[Current health expenditure per capita (current US$) '[SH.XPD.CHEX.PC.CD']]]*1000</f>
        <v>46.791823258138571</v>
      </c>
    </row>
    <row r="446" spans="1:7" x14ac:dyDescent="0.25">
      <c r="A446" s="5" t="s">
        <v>151</v>
      </c>
      <c r="B446" s="6" t="s">
        <v>380</v>
      </c>
      <c r="C446" s="5">
        <v>2018</v>
      </c>
      <c r="D446" s="7">
        <v>1987.69470215</v>
      </c>
      <c r="E446" s="11">
        <v>81.555999999999997</v>
      </c>
      <c r="F446" s="10">
        <f>Table1[[#This Row],[Life expectancy at birth, total (years) '[SP.DYN.LE00.IN']]]/Table1[[#This Row],[Current health expenditure per capita (current US$) '[SH.XPD.CHEX.PC.CD']]]</f>
        <v>4.1030445929037561E-2</v>
      </c>
      <c r="G446" s="4">
        <f>Table1[[#This Row],[Life expectancy at birth, total (years) '[SP.DYN.LE00.IN']]]/Table1[[#This Row],[Current health expenditure per capita (current US$) '[SH.XPD.CHEX.PC.CD']]]*1000</f>
        <v>41.030445929037562</v>
      </c>
    </row>
    <row r="447" spans="1:7" x14ac:dyDescent="0.25">
      <c r="A447" s="5" t="s">
        <v>151</v>
      </c>
      <c r="B447" s="6" t="s">
        <v>380</v>
      </c>
      <c r="C447" s="5">
        <v>2019</v>
      </c>
      <c r="D447" s="7">
        <v>2059.4501953099998</v>
      </c>
      <c r="E447" s="11">
        <v>81.453999999999994</v>
      </c>
      <c r="F447" s="10">
        <f>Table1[[#This Row],[Life expectancy at birth, total (years) '[SP.DYN.LE00.IN']]]/Table1[[#This Row],[Current health expenditure per capita (current US$) '[SH.XPD.CHEX.PC.CD']]]</f>
        <v>3.9551332770996719E-2</v>
      </c>
      <c r="G447" s="4">
        <f>Table1[[#This Row],[Life expectancy at birth, total (years) '[SP.DYN.LE00.IN']]]/Table1[[#This Row],[Current health expenditure per capita (current US$) '[SH.XPD.CHEX.PC.CD']]]*1000</f>
        <v>39.551332770996723</v>
      </c>
    </row>
    <row r="448" spans="1:7" x14ac:dyDescent="0.25">
      <c r="A448" s="5" t="s">
        <v>151</v>
      </c>
      <c r="B448" s="6" t="s">
        <v>380</v>
      </c>
      <c r="C448" s="5">
        <v>2020</v>
      </c>
      <c r="D448" s="7">
        <v>2443.3720703099998</v>
      </c>
      <c r="E448" s="11">
        <v>81.23</v>
      </c>
      <c r="F448" s="10">
        <f>Table1[[#This Row],[Life expectancy at birth, total (years) '[SP.DYN.LE00.IN']]]/Table1[[#This Row],[Current health expenditure per capita (current US$) '[SH.XPD.CHEX.PC.CD']]]</f>
        <v>3.3245039094555111E-2</v>
      </c>
      <c r="G448" s="4">
        <f>Table1[[#This Row],[Life expectancy at birth, total (years) '[SP.DYN.LE00.IN']]]/Table1[[#This Row],[Current health expenditure per capita (current US$) '[SH.XPD.CHEX.PC.CD']]]*1000</f>
        <v>33.245039094555111</v>
      </c>
    </row>
    <row r="449" spans="1:7" x14ac:dyDescent="0.25">
      <c r="A449" s="5" t="s">
        <v>151</v>
      </c>
      <c r="B449" s="6" t="s">
        <v>380</v>
      </c>
      <c r="C449" s="5">
        <v>2021</v>
      </c>
      <c r="D449" s="7">
        <v>2947.8149414099998</v>
      </c>
      <c r="E449" s="11">
        <v>80.572999999999993</v>
      </c>
      <c r="F449" s="10">
        <f>Table1[[#This Row],[Life expectancy at birth, total (years) '[SP.DYN.LE00.IN']]]/Table1[[#This Row],[Current health expenditure per capita (current US$) '[SH.XPD.CHEX.PC.CD']]]</f>
        <v>2.7333126943667737E-2</v>
      </c>
      <c r="G449" s="4">
        <f>Table1[[#This Row],[Life expectancy at birth, total (years) '[SP.DYN.LE00.IN']]]/Table1[[#This Row],[Current health expenditure per capita (current US$) '[SH.XPD.CHEX.PC.CD']]]*1000</f>
        <v>27.333126943667736</v>
      </c>
    </row>
    <row r="450" spans="1:7" x14ac:dyDescent="0.25">
      <c r="A450" s="5" t="s">
        <v>151</v>
      </c>
      <c r="B450" s="6" t="s">
        <v>380</v>
      </c>
      <c r="C450" s="5">
        <v>2022</v>
      </c>
      <c r="D450" s="7">
        <v>2748.6159668</v>
      </c>
      <c r="E450" s="11">
        <v>80.433999999999997</v>
      </c>
      <c r="F450" s="10">
        <f>Table1[[#This Row],[Life expectancy at birth, total (years) '[SP.DYN.LE00.IN']]]/Table1[[#This Row],[Current health expenditure per capita (current US$) '[SH.XPD.CHEX.PC.CD']]]</f>
        <v>2.9263455124887108E-2</v>
      </c>
      <c r="G450" s="4">
        <f>Table1[[#This Row],[Life expectancy at birth, total (years) '[SP.DYN.LE00.IN']]]/Table1[[#This Row],[Current health expenditure per capita (current US$) '[SH.XPD.CHEX.PC.CD']]]*1000</f>
        <v>29.263455124887109</v>
      </c>
    </row>
    <row r="451" spans="1:7" x14ac:dyDescent="0.25">
      <c r="A451" s="5" t="s">
        <v>151</v>
      </c>
      <c r="B451" s="6" t="s">
        <v>380</v>
      </c>
      <c r="C451" s="5">
        <v>2023</v>
      </c>
      <c r="D451" s="7">
        <v>2899.3649902299999</v>
      </c>
      <c r="E451" s="11">
        <v>81.647999999999996</v>
      </c>
      <c r="F451" s="10">
        <f>Table1[[#This Row],[Life expectancy at birth, total (years) '[SP.DYN.LE00.IN']]]/Table1[[#This Row],[Current health expenditure per capita (current US$) '[SH.XPD.CHEX.PC.CD']]]</f>
        <v>2.8160649064581225E-2</v>
      </c>
      <c r="G451" s="4">
        <f>Table1[[#This Row],[Life expectancy at birth, total (years) '[SP.DYN.LE00.IN']]]/Table1[[#This Row],[Current health expenditure per capita (current US$) '[SH.XPD.CHEX.PC.CD']]]*1000</f>
        <v>28.160649064581225</v>
      </c>
    </row>
    <row r="452" spans="1:7" hidden="1" x14ac:dyDescent="0.25">
      <c r="B452" s="1"/>
      <c r="D452" s="3"/>
      <c r="E452"/>
      <c r="F452" t="e">
        <f>Table1[[#This Row],[Life expectancy at birth, total (years) '[SP.DYN.LE00.IN']]]/Table1[[#This Row],[Current health expenditure per capita (current US$) '[SH.XPD.CHEX.PC.CD']]]</f>
        <v>#DIV/0!</v>
      </c>
      <c r="G452" s="2" t="e">
        <f>Table1[[#This Row],[Life expectancy at birth, total (years) '[SP.DYN.LE00.IN']]]/Table1[[#This Row],[Current health expenditure per capita (current US$) '[SH.XPD.CHEX.PC.CD']]]*1000</f>
        <v>#DIV/0!</v>
      </c>
    </row>
    <row r="453" spans="1:7" x14ac:dyDescent="0.25">
      <c r="A453" s="5" t="s">
        <v>209</v>
      </c>
      <c r="B453" s="6" t="s">
        <v>272</v>
      </c>
      <c r="C453" s="5">
        <v>2015</v>
      </c>
      <c r="D453" s="7">
        <v>1308.8013916</v>
      </c>
      <c r="E453" s="11">
        <v>78.578048780487805</v>
      </c>
      <c r="F453" s="10">
        <f>Table1[[#This Row],[Life expectancy at birth, total (years) '[SP.DYN.LE00.IN']]]/Table1[[#This Row],[Current health expenditure per capita (current US$) '[SH.XPD.CHEX.PC.CD']]]</f>
        <v>6.0038176368705357E-2</v>
      </c>
      <c r="G453" s="4">
        <f>Table1[[#This Row],[Life expectancy at birth, total (years) '[SP.DYN.LE00.IN']]]/Table1[[#This Row],[Current health expenditure per capita (current US$) '[SH.XPD.CHEX.PC.CD']]]*1000</f>
        <v>60.038176368705358</v>
      </c>
    </row>
    <row r="454" spans="1:7" x14ac:dyDescent="0.25">
      <c r="A454" s="5" t="s">
        <v>209</v>
      </c>
      <c r="B454" s="6" t="s">
        <v>272</v>
      </c>
      <c r="C454" s="5">
        <v>2016</v>
      </c>
      <c r="D454" s="7">
        <v>1374.9005127</v>
      </c>
      <c r="E454" s="11">
        <v>79.026829268292687</v>
      </c>
      <c r="F454" s="10">
        <f>Table1[[#This Row],[Life expectancy at birth, total (years) '[SP.DYN.LE00.IN']]]/Table1[[#This Row],[Current health expenditure per capita (current US$) '[SH.XPD.CHEX.PC.CD']]]</f>
        <v>5.7478216451531824E-2</v>
      </c>
      <c r="G454" s="4">
        <f>Table1[[#This Row],[Life expectancy at birth, total (years) '[SP.DYN.LE00.IN']]]/Table1[[#This Row],[Current health expenditure per capita (current US$) '[SH.XPD.CHEX.PC.CD']]]*1000</f>
        <v>57.478216451531821</v>
      </c>
    </row>
    <row r="455" spans="1:7" x14ac:dyDescent="0.25">
      <c r="A455" s="5" t="s">
        <v>209</v>
      </c>
      <c r="B455" s="6" t="s">
        <v>272</v>
      </c>
      <c r="C455" s="5">
        <v>2017</v>
      </c>
      <c r="D455" s="7">
        <v>1516.7501220700001</v>
      </c>
      <c r="E455" s="11">
        <v>78.978048780487811</v>
      </c>
      <c r="F455" s="10">
        <f>Table1[[#This Row],[Life expectancy at birth, total (years) '[SP.DYN.LE00.IN']]]/Table1[[#This Row],[Current health expenditure per capita (current US$) '[SH.XPD.CHEX.PC.CD']]]</f>
        <v>5.2070573544903839E-2</v>
      </c>
      <c r="G455" s="4">
        <f>Table1[[#This Row],[Life expectancy at birth, total (years) '[SP.DYN.LE00.IN']]]/Table1[[#This Row],[Current health expenditure per capita (current US$) '[SH.XPD.CHEX.PC.CD']]]*1000</f>
        <v>52.070573544903837</v>
      </c>
    </row>
    <row r="456" spans="1:7" x14ac:dyDescent="0.25">
      <c r="A456" s="5" t="s">
        <v>209</v>
      </c>
      <c r="B456" s="6" t="s">
        <v>272</v>
      </c>
      <c r="C456" s="5">
        <v>2018</v>
      </c>
      <c r="D456" s="7">
        <v>1750.81188965</v>
      </c>
      <c r="E456" s="11">
        <v>79.029268292682929</v>
      </c>
      <c r="F456" s="10">
        <f>Table1[[#This Row],[Life expectancy at birth, total (years) '[SP.DYN.LE00.IN']]]/Table1[[#This Row],[Current health expenditure per capita (current US$) '[SH.XPD.CHEX.PC.CD']]]</f>
        <v>4.5138640398701801E-2</v>
      </c>
      <c r="G456" s="4">
        <f>Table1[[#This Row],[Life expectancy at birth, total (years) '[SP.DYN.LE00.IN']]]/Table1[[#This Row],[Current health expenditure per capita (current US$) '[SH.XPD.CHEX.PC.CD']]]*1000</f>
        <v>45.138640398701803</v>
      </c>
    </row>
    <row r="457" spans="1:7" x14ac:dyDescent="0.25">
      <c r="A457" s="5" t="s">
        <v>209</v>
      </c>
      <c r="B457" s="6" t="s">
        <v>272</v>
      </c>
      <c r="C457" s="5">
        <v>2019</v>
      </c>
      <c r="D457" s="7">
        <v>1805.4403076200001</v>
      </c>
      <c r="E457" s="11">
        <v>79.229268292682946</v>
      </c>
      <c r="F457" s="10">
        <f>Table1[[#This Row],[Life expectancy at birth, total (years) '[SP.DYN.LE00.IN']]]/Table1[[#This Row],[Current health expenditure per capita (current US$) '[SH.XPD.CHEX.PC.CD']]]</f>
        <v>4.388362659141358E-2</v>
      </c>
      <c r="G457" s="4">
        <f>Table1[[#This Row],[Life expectancy at birth, total (years) '[SP.DYN.LE00.IN']]]/Table1[[#This Row],[Current health expenditure per capita (current US$) '[SH.XPD.CHEX.PC.CD']]]*1000</f>
        <v>43.883626591413581</v>
      </c>
    </row>
    <row r="458" spans="1:7" x14ac:dyDescent="0.25">
      <c r="A458" s="5" t="s">
        <v>209</v>
      </c>
      <c r="B458" s="6" t="s">
        <v>272</v>
      </c>
      <c r="C458" s="5">
        <v>2020</v>
      </c>
      <c r="D458" s="7">
        <v>2106.2802734400002</v>
      </c>
      <c r="E458" s="11">
        <v>78.22682926829269</v>
      </c>
      <c r="F458" s="10">
        <f>Table1[[#This Row],[Life expectancy at birth, total (years) '[SP.DYN.LE00.IN']]]/Table1[[#This Row],[Current health expenditure per capita (current US$) '[SH.XPD.CHEX.PC.CD']]]</f>
        <v>3.713980055490515E-2</v>
      </c>
      <c r="G458" s="4">
        <f>Table1[[#This Row],[Life expectancy at birth, total (years) '[SP.DYN.LE00.IN']]]/Table1[[#This Row],[Current health expenditure per capita (current US$) '[SH.XPD.CHEX.PC.CD']]]*1000</f>
        <v>37.13980055490515</v>
      </c>
    </row>
    <row r="459" spans="1:7" x14ac:dyDescent="0.25">
      <c r="A459" s="5" t="s">
        <v>209</v>
      </c>
      <c r="B459" s="6" t="s">
        <v>272</v>
      </c>
      <c r="C459" s="5">
        <v>2021</v>
      </c>
      <c r="D459" s="7">
        <v>2538.0334472700001</v>
      </c>
      <c r="E459" s="11">
        <v>77.221951219512206</v>
      </c>
      <c r="F459" s="10">
        <f>Table1[[#This Row],[Life expectancy at birth, total (years) '[SP.DYN.LE00.IN']]]/Table1[[#This Row],[Current health expenditure per capita (current US$) '[SH.XPD.CHEX.PC.CD']]]</f>
        <v>3.0425899746346886E-2</v>
      </c>
      <c r="G459" s="4">
        <f>Table1[[#This Row],[Life expectancy at birth, total (years) '[SP.DYN.LE00.IN']]]/Table1[[#This Row],[Current health expenditure per capita (current US$) '[SH.XPD.CHEX.PC.CD']]]*1000</f>
        <v>30.425899746346886</v>
      </c>
    </row>
    <row r="460" spans="1:7" x14ac:dyDescent="0.25">
      <c r="A460" s="5" t="s">
        <v>209</v>
      </c>
      <c r="B460" s="6" t="s">
        <v>272</v>
      </c>
      <c r="C460" s="5">
        <v>2022</v>
      </c>
      <c r="D460" s="7">
        <v>2431.0849609400002</v>
      </c>
      <c r="E460" s="11">
        <v>78.929268292682934</v>
      </c>
      <c r="F460" s="10">
        <f>Table1[[#This Row],[Life expectancy at birth, total (years) '[SP.DYN.LE00.IN']]]/Table1[[#This Row],[Current health expenditure per capita (current US$) '[SH.XPD.CHEX.PC.CD']]]</f>
        <v>3.246668444782129E-2</v>
      </c>
      <c r="G460" s="4">
        <f>Table1[[#This Row],[Life expectancy at birth, total (years) '[SP.DYN.LE00.IN']]]/Table1[[#This Row],[Current health expenditure per capita (current US$) '[SH.XPD.CHEX.PC.CD']]]*1000</f>
        <v>32.466684447821287</v>
      </c>
    </row>
    <row r="461" spans="1:7" x14ac:dyDescent="0.25">
      <c r="A461" s="5" t="s">
        <v>209</v>
      </c>
      <c r="B461" s="6" t="s">
        <v>272</v>
      </c>
      <c r="C461" s="5">
        <v>2023</v>
      </c>
      <c r="D461" s="7">
        <v>2671.0839843799999</v>
      </c>
      <c r="E461" s="11">
        <v>79.878048780487816</v>
      </c>
      <c r="F461" s="10">
        <f>Table1[[#This Row],[Life expectancy at birth, total (years) '[SP.DYN.LE00.IN']]]/Table1[[#This Row],[Current health expenditure per capita (current US$) '[SH.XPD.CHEX.PC.CD']]]</f>
        <v>2.9904731280483775E-2</v>
      </c>
      <c r="G461" s="4">
        <f>Table1[[#This Row],[Life expectancy at birth, total (years) '[SP.DYN.LE00.IN']]]/Table1[[#This Row],[Current health expenditure per capita (current US$) '[SH.XPD.CHEX.PC.CD']]]*1000</f>
        <v>29.904731280483777</v>
      </c>
    </row>
    <row r="462" spans="1:7" hidden="1" x14ac:dyDescent="0.25">
      <c r="B462" s="1"/>
      <c r="D462" s="3"/>
      <c r="E462"/>
      <c r="F462" t="e">
        <f>Table1[[#This Row],[Life expectancy at birth, total (years) '[SP.DYN.LE00.IN']]]/Table1[[#This Row],[Current health expenditure per capita (current US$) '[SH.XPD.CHEX.PC.CD']]]</f>
        <v>#DIV/0!</v>
      </c>
      <c r="G462" s="2" t="e">
        <f>Table1[[#This Row],[Life expectancy at birth, total (years) '[SP.DYN.LE00.IN']]]/Table1[[#This Row],[Current health expenditure per capita (current US$) '[SH.XPD.CHEX.PC.CD']]]*1000</f>
        <v>#DIV/0!</v>
      </c>
    </row>
    <row r="463" spans="1:7" x14ac:dyDescent="0.25">
      <c r="A463" s="5" t="s">
        <v>279</v>
      </c>
      <c r="B463" s="6" t="s">
        <v>212</v>
      </c>
      <c r="C463" s="5">
        <v>2015</v>
      </c>
      <c r="D463" s="7">
        <v>5508.5336914099998</v>
      </c>
      <c r="E463" s="11">
        <v>80.702439024390245</v>
      </c>
      <c r="F463" s="10">
        <f>Table1[[#This Row],[Life expectancy at birth, total (years) '[SP.DYN.LE00.IN']]]/Table1[[#This Row],[Current health expenditure per capita (current US$) '[SH.XPD.CHEX.PC.CD']]]</f>
        <v>1.4650439399188486E-2</v>
      </c>
      <c r="G463" s="4">
        <f>Table1[[#This Row],[Life expectancy at birth, total (years) '[SP.DYN.LE00.IN']]]/Table1[[#This Row],[Current health expenditure per capita (current US$) '[SH.XPD.CHEX.PC.CD']]]*1000</f>
        <v>14.650439399188485</v>
      </c>
    </row>
    <row r="464" spans="1:7" x14ac:dyDescent="0.25">
      <c r="A464" s="5" t="s">
        <v>279</v>
      </c>
      <c r="B464" s="6" t="s">
        <v>212</v>
      </c>
      <c r="C464" s="5">
        <v>2016</v>
      </c>
      <c r="D464" s="7">
        <v>5603.7583007800004</v>
      </c>
      <c r="E464" s="11">
        <v>80.853658536585371</v>
      </c>
      <c r="F464" s="10">
        <f>Table1[[#This Row],[Life expectancy at birth, total (years) '[SP.DYN.LE00.IN']]]/Table1[[#This Row],[Current health expenditure per capita (current US$) '[SH.XPD.CHEX.PC.CD']]]</f>
        <v>1.4428470001165318E-2</v>
      </c>
      <c r="G464" s="4">
        <f>Table1[[#This Row],[Life expectancy at birth, total (years) '[SP.DYN.LE00.IN']]]/Table1[[#This Row],[Current health expenditure per capita (current US$) '[SH.XPD.CHEX.PC.CD']]]*1000</f>
        <v>14.428470001165318</v>
      </c>
    </row>
    <row r="465" spans="1:7" x14ac:dyDescent="0.25">
      <c r="A465" s="5" t="s">
        <v>279</v>
      </c>
      <c r="B465" s="6" t="s">
        <v>212</v>
      </c>
      <c r="C465" s="5">
        <v>2017</v>
      </c>
      <c r="D465" s="7">
        <v>5817.4252929699996</v>
      </c>
      <c r="E465" s="11">
        <v>81.10243902439025</v>
      </c>
      <c r="F465" s="10">
        <f>Table1[[#This Row],[Life expectancy at birth, total (years) '[SP.DYN.LE00.IN']]]/Table1[[#This Row],[Current health expenditure per capita (current US$) '[SH.XPD.CHEX.PC.CD']]]</f>
        <v>1.3941294462757872E-2</v>
      </c>
      <c r="G465" s="4">
        <f>Table1[[#This Row],[Life expectancy at birth, total (years) '[SP.DYN.LE00.IN']]]/Table1[[#This Row],[Current health expenditure per capita (current US$) '[SH.XPD.CHEX.PC.CD']]]*1000</f>
        <v>13.941294462757872</v>
      </c>
    </row>
    <row r="466" spans="1:7" x14ac:dyDescent="0.25">
      <c r="A466" s="5" t="s">
        <v>279</v>
      </c>
      <c r="B466" s="6" t="s">
        <v>212</v>
      </c>
      <c r="C466" s="5">
        <v>2018</v>
      </c>
      <c r="D466" s="7">
        <v>6219.1298828099998</v>
      </c>
      <c r="E466" s="11">
        <v>80.953658536585365</v>
      </c>
      <c r="F466" s="10">
        <f>Table1[[#This Row],[Life expectancy at birth, total (years) '[SP.DYN.LE00.IN']]]/Table1[[#This Row],[Current health expenditure per capita (current US$) '[SH.XPD.CHEX.PC.CD']]]</f>
        <v>1.3016878576590837E-2</v>
      </c>
      <c r="G466" s="4">
        <f>Table1[[#This Row],[Life expectancy at birth, total (years) '[SP.DYN.LE00.IN']]]/Table1[[#This Row],[Current health expenditure per capita (current US$) '[SH.XPD.CHEX.PC.CD']]]*1000</f>
        <v>13.016878576590837</v>
      </c>
    </row>
    <row r="467" spans="1:7" x14ac:dyDescent="0.25">
      <c r="A467" s="5" t="s">
        <v>279</v>
      </c>
      <c r="B467" s="6" t="s">
        <v>212</v>
      </c>
      <c r="C467" s="5">
        <v>2019</v>
      </c>
      <c r="D467" s="7">
        <v>6049.9340820300004</v>
      </c>
      <c r="E467" s="11">
        <v>81.451219512195138</v>
      </c>
      <c r="F467" s="10">
        <f>Table1[[#This Row],[Life expectancy at birth, total (years) '[SP.DYN.LE00.IN']]]/Table1[[#This Row],[Current health expenditure per capita (current US$) '[SH.XPD.CHEX.PC.CD']]]</f>
        <v>1.3463158177892894E-2</v>
      </c>
      <c r="G467" s="4">
        <f>Table1[[#This Row],[Life expectancy at birth, total (years) '[SP.DYN.LE00.IN']]]/Table1[[#This Row],[Current health expenditure per capita (current US$) '[SH.XPD.CHEX.PC.CD']]]*1000</f>
        <v>13.463158177892895</v>
      </c>
    </row>
    <row r="468" spans="1:7" x14ac:dyDescent="0.25">
      <c r="A468" s="5" t="s">
        <v>279</v>
      </c>
      <c r="B468" s="6" t="s">
        <v>212</v>
      </c>
      <c r="C468" s="5">
        <v>2020</v>
      </c>
      <c r="D468" s="7">
        <v>6520.6577148400002</v>
      </c>
      <c r="E468" s="11">
        <v>81.60243902439025</v>
      </c>
      <c r="F468" s="10">
        <f>Table1[[#This Row],[Life expectancy at birth, total (years) '[SP.DYN.LE00.IN']]]/Table1[[#This Row],[Current health expenditure per capita (current US$) '[SH.XPD.CHEX.PC.CD']]]</f>
        <v>1.251444909286924E-2</v>
      </c>
      <c r="G468" s="4">
        <f>Table1[[#This Row],[Life expectancy at birth, total (years) '[SP.DYN.LE00.IN']]]/Table1[[#This Row],[Current health expenditure per capita (current US$) '[SH.XPD.CHEX.PC.CD']]]*1000</f>
        <v>12.51444909286924</v>
      </c>
    </row>
    <row r="469" spans="1:7" x14ac:dyDescent="0.25">
      <c r="A469" s="5" t="s">
        <v>279</v>
      </c>
      <c r="B469" s="6" t="s">
        <v>212</v>
      </c>
      <c r="C469" s="5">
        <v>2021</v>
      </c>
      <c r="D469" s="7">
        <v>7429.9902343800004</v>
      </c>
      <c r="E469" s="11">
        <v>81.404878048780489</v>
      </c>
      <c r="F469" s="10">
        <f>Table1[[#This Row],[Life expectancy at birth, total (years) '[SP.DYN.LE00.IN']]]/Table1[[#This Row],[Current health expenditure per capita (current US$) '[SH.XPD.CHEX.PC.CD']]]</f>
        <v>1.0956256398844831E-2</v>
      </c>
      <c r="G469" s="4">
        <f>Table1[[#This Row],[Life expectancy at birth, total (years) '[SP.DYN.LE00.IN']]]/Table1[[#This Row],[Current health expenditure per capita (current US$) '[SH.XPD.CHEX.PC.CD']]]*1000</f>
        <v>10.956256398844831</v>
      </c>
    </row>
    <row r="470" spans="1:7" x14ac:dyDescent="0.25">
      <c r="A470" s="5" t="s">
        <v>279</v>
      </c>
      <c r="B470" s="6" t="s">
        <v>212</v>
      </c>
      <c r="C470" s="5">
        <v>2022</v>
      </c>
      <c r="D470" s="7">
        <v>6451.1943359400002</v>
      </c>
      <c r="E470" s="11">
        <v>81.304878048780495</v>
      </c>
      <c r="F470" s="10">
        <f>Table1[[#This Row],[Life expectancy at birth, total (years) '[SP.DYN.LE00.IN']]]/Table1[[#This Row],[Current health expenditure per capita (current US$) '[SH.XPD.CHEX.PC.CD']]]</f>
        <v>1.2603073758889268E-2</v>
      </c>
      <c r="G470" s="4">
        <f>Table1[[#This Row],[Life expectancy at birth, total (years) '[SP.DYN.LE00.IN']]]/Table1[[#This Row],[Current health expenditure per capita (current US$) '[SH.XPD.CHEX.PC.CD']]]*1000</f>
        <v>12.603073758889268</v>
      </c>
    </row>
    <row r="471" spans="1:7" x14ac:dyDescent="0.25">
      <c r="A471" s="5" t="s">
        <v>279</v>
      </c>
      <c r="B471" s="6" t="s">
        <v>212</v>
      </c>
      <c r="C471" s="5">
        <v>2023</v>
      </c>
      <c r="D471" s="7">
        <v>6510.625</v>
      </c>
      <c r="E471" s="11">
        <v>81.853658536585385</v>
      </c>
      <c r="F471" s="10">
        <f>Table1[[#This Row],[Life expectancy at birth, total (years) '[SP.DYN.LE00.IN']]]/Table1[[#This Row],[Current health expenditure per capita (current US$) '[SH.XPD.CHEX.PC.CD']]]</f>
        <v>1.2572319636991132E-2</v>
      </c>
      <c r="G471" s="4">
        <f>Table1[[#This Row],[Life expectancy at birth, total (years) '[SP.DYN.LE00.IN']]]/Table1[[#This Row],[Current health expenditure per capita (current US$) '[SH.XPD.CHEX.PC.CD']]]*1000</f>
        <v>12.572319636991132</v>
      </c>
    </row>
    <row r="472" spans="1:7" hidden="1" x14ac:dyDescent="0.25">
      <c r="B472" s="1"/>
      <c r="D472" s="3"/>
      <c r="E472"/>
      <c r="F472" t="e">
        <f>Table1[[#This Row],[Life expectancy at birth, total (years) '[SP.DYN.LE00.IN']]]/Table1[[#This Row],[Current health expenditure per capita (current US$) '[SH.XPD.CHEX.PC.CD']]]</f>
        <v>#DIV/0!</v>
      </c>
      <c r="G472" s="2" t="e">
        <f>Table1[[#This Row],[Life expectancy at birth, total (years) '[SP.DYN.LE00.IN']]]/Table1[[#This Row],[Current health expenditure per capita (current US$) '[SH.XPD.CHEX.PC.CD']]]*1000</f>
        <v>#DIV/0!</v>
      </c>
    </row>
    <row r="473" spans="1:7" x14ac:dyDescent="0.25">
      <c r="A473" s="5" t="s">
        <v>161</v>
      </c>
      <c r="B473" s="6" t="s">
        <v>231</v>
      </c>
      <c r="C473" s="5">
        <v>2015</v>
      </c>
      <c r="D473" s="7">
        <v>79.542579649999993</v>
      </c>
      <c r="E473" s="11">
        <v>62.832999999999998</v>
      </c>
      <c r="F473" s="10">
        <f>Table1[[#This Row],[Life expectancy at birth, total (years) '[SP.DYN.LE00.IN']]]/Table1[[#This Row],[Current health expenditure per capita (current US$) '[SH.XPD.CHEX.PC.CD']]]</f>
        <v>0.78992912068574084</v>
      </c>
      <c r="G473" s="4">
        <f>Table1[[#This Row],[Life expectancy at birth, total (years) '[SP.DYN.LE00.IN']]]/Table1[[#This Row],[Current health expenditure per capita (current US$) '[SH.XPD.CHEX.PC.CD']]]*1000</f>
        <v>789.92912068574083</v>
      </c>
    </row>
    <row r="474" spans="1:7" x14ac:dyDescent="0.25">
      <c r="A474" s="5" t="s">
        <v>161</v>
      </c>
      <c r="B474" s="6" t="s">
        <v>231</v>
      </c>
      <c r="C474" s="5">
        <v>2016</v>
      </c>
      <c r="D474" s="7">
        <v>68.827453610000006</v>
      </c>
      <c r="E474" s="11">
        <v>63.335000000000001</v>
      </c>
      <c r="F474" s="10">
        <f>Table1[[#This Row],[Life expectancy at birth, total (years) '[SP.DYN.LE00.IN']]]/Table1[[#This Row],[Current health expenditure per capita (current US$) '[SH.XPD.CHEX.PC.CD']]]</f>
        <v>0.9201996685636209</v>
      </c>
      <c r="G474" s="4">
        <f>Table1[[#This Row],[Life expectancy at birth, total (years) '[SP.DYN.LE00.IN']]]/Table1[[#This Row],[Current health expenditure per capita (current US$) '[SH.XPD.CHEX.PC.CD']]]*1000</f>
        <v>920.19966856362089</v>
      </c>
    </row>
    <row r="475" spans="1:7" x14ac:dyDescent="0.25">
      <c r="A475" s="5" t="s">
        <v>161</v>
      </c>
      <c r="B475" s="6" t="s">
        <v>231</v>
      </c>
      <c r="C475" s="5">
        <v>2017</v>
      </c>
      <c r="D475" s="7">
        <v>64.943969730000006</v>
      </c>
      <c r="E475" s="11">
        <v>63.71</v>
      </c>
      <c r="F475" s="10">
        <f>Table1[[#This Row],[Life expectancy at birth, total (years) '[SP.DYN.LE00.IN']]]/Table1[[#This Row],[Current health expenditure per capita (current US$) '[SH.XPD.CHEX.PC.CD']]]</f>
        <v>0.98099947177343561</v>
      </c>
      <c r="G475" s="4">
        <f>Table1[[#This Row],[Life expectancy at birth, total (years) '[SP.DYN.LE00.IN']]]/Table1[[#This Row],[Current health expenditure per capita (current US$) '[SH.XPD.CHEX.PC.CD']]]*1000</f>
        <v>980.99947177343563</v>
      </c>
    </row>
    <row r="476" spans="1:7" x14ac:dyDescent="0.25">
      <c r="A476" s="5" t="s">
        <v>161</v>
      </c>
      <c r="B476" s="6" t="s">
        <v>231</v>
      </c>
      <c r="C476" s="5">
        <v>2018</v>
      </c>
      <c r="D476" s="7">
        <v>68.791015630000004</v>
      </c>
      <c r="E476" s="11">
        <v>64.105000000000004</v>
      </c>
      <c r="F476" s="10">
        <f>Table1[[#This Row],[Life expectancy at birth, total (years) '[SP.DYN.LE00.IN']]]/Table1[[#This Row],[Current health expenditure per capita (current US$) '[SH.XPD.CHEX.PC.CD']]]</f>
        <v>0.93188041218632023</v>
      </c>
      <c r="G476" s="4">
        <f>Table1[[#This Row],[Life expectancy at birth, total (years) '[SP.DYN.LE00.IN']]]/Table1[[#This Row],[Current health expenditure per capita (current US$) '[SH.XPD.CHEX.PC.CD']]]*1000</f>
        <v>931.8804121863202</v>
      </c>
    </row>
    <row r="477" spans="1:7" x14ac:dyDescent="0.25">
      <c r="A477" s="5" t="s">
        <v>161</v>
      </c>
      <c r="B477" s="6" t="s">
        <v>231</v>
      </c>
      <c r="C477" s="5">
        <v>2019</v>
      </c>
      <c r="D477" s="7">
        <v>68.474487300000007</v>
      </c>
      <c r="E477" s="11">
        <v>64.381</v>
      </c>
      <c r="F477" s="10">
        <f>Table1[[#This Row],[Life expectancy at birth, total (years) '[SP.DYN.LE00.IN']]]/Table1[[#This Row],[Current health expenditure per capita (current US$) '[SH.XPD.CHEX.PC.CD']]]</f>
        <v>0.94021879591349633</v>
      </c>
      <c r="G477" s="4">
        <f>Table1[[#This Row],[Life expectancy at birth, total (years) '[SP.DYN.LE00.IN']]]/Table1[[#This Row],[Current health expenditure per capita (current US$) '[SH.XPD.CHEX.PC.CD']]]*1000</f>
        <v>940.21879591349636</v>
      </c>
    </row>
    <row r="478" spans="1:7" x14ac:dyDescent="0.25">
      <c r="A478" s="5" t="s">
        <v>161</v>
      </c>
      <c r="B478" s="6" t="s">
        <v>231</v>
      </c>
      <c r="C478" s="5">
        <v>2020</v>
      </c>
      <c r="D478" s="7">
        <v>66.530868530000006</v>
      </c>
      <c r="E478" s="11">
        <v>64.2</v>
      </c>
      <c r="F478" s="10">
        <f>Table1[[#This Row],[Life expectancy at birth, total (years) '[SP.DYN.LE00.IN']]]/Table1[[#This Row],[Current health expenditure per capita (current US$) '[SH.XPD.CHEX.PC.CD']]]</f>
        <v>0.96496560797265152</v>
      </c>
      <c r="G478" s="4">
        <f>Table1[[#This Row],[Life expectancy at birth, total (years) '[SP.DYN.LE00.IN']]]/Table1[[#This Row],[Current health expenditure per capita (current US$) '[SH.XPD.CHEX.PC.CD']]]*1000</f>
        <v>964.96560797265147</v>
      </c>
    </row>
    <row r="479" spans="1:7" x14ac:dyDescent="0.25">
      <c r="A479" s="5" t="s">
        <v>161</v>
      </c>
      <c r="B479" s="6" t="s">
        <v>231</v>
      </c>
      <c r="C479" s="5">
        <v>2021</v>
      </c>
      <c r="D479" s="7">
        <v>86.88237762</v>
      </c>
      <c r="E479" s="11">
        <v>63.83</v>
      </c>
      <c r="F479" s="10">
        <f>Table1[[#This Row],[Life expectancy at birth, total (years) '[SP.DYN.LE00.IN']]]/Table1[[#This Row],[Current health expenditure per capita (current US$) '[SH.XPD.CHEX.PC.CD']]]</f>
        <v>0.7346714230033522</v>
      </c>
      <c r="G479" s="4">
        <f>Table1[[#This Row],[Life expectancy at birth, total (years) '[SP.DYN.LE00.IN']]]/Table1[[#This Row],[Current health expenditure per capita (current US$) '[SH.XPD.CHEX.PC.CD']]]*1000</f>
        <v>734.67142300335217</v>
      </c>
    </row>
    <row r="480" spans="1:7" x14ac:dyDescent="0.25">
      <c r="A480" s="5" t="s">
        <v>161</v>
      </c>
      <c r="B480" s="6" t="s">
        <v>231</v>
      </c>
      <c r="C480" s="5">
        <v>2022</v>
      </c>
      <c r="D480" s="7">
        <v>79.131843570000001</v>
      </c>
      <c r="E480" s="11">
        <v>65.540000000000006</v>
      </c>
      <c r="F480" s="10">
        <f>Table1[[#This Row],[Life expectancy at birth, total (years) '[SP.DYN.LE00.IN']]]/Table1[[#This Row],[Current health expenditure per capita (current US$) '[SH.XPD.CHEX.PC.CD']]]</f>
        <v>0.82823800183580132</v>
      </c>
      <c r="G480" s="4">
        <f>Table1[[#This Row],[Life expectancy at birth, total (years) '[SP.DYN.LE00.IN']]]/Table1[[#This Row],[Current health expenditure per capita (current US$) '[SH.XPD.CHEX.PC.CD']]]*1000</f>
        <v>828.23800183580136</v>
      </c>
    </row>
    <row r="481" spans="1:7" x14ac:dyDescent="0.25">
      <c r="A481" s="5" t="s">
        <v>161</v>
      </c>
      <c r="B481" s="6" t="s">
        <v>231</v>
      </c>
      <c r="C481" s="5">
        <v>2023</v>
      </c>
      <c r="D481" s="7">
        <v>77.570877080000002</v>
      </c>
      <c r="E481" s="11">
        <v>65.986999999999995</v>
      </c>
      <c r="F481" s="10">
        <f>Table1[[#This Row],[Life expectancy at birth, total (years) '[SP.DYN.LE00.IN']]]/Table1[[#This Row],[Current health expenditure per capita (current US$) '[SH.XPD.CHEX.PC.CD']]]</f>
        <v>0.8506671895941903</v>
      </c>
      <c r="G481" s="4">
        <f>Table1[[#This Row],[Life expectancy at birth, total (years) '[SP.DYN.LE00.IN']]]/Table1[[#This Row],[Current health expenditure per capita (current US$) '[SH.XPD.CHEX.PC.CD']]]*1000</f>
        <v>850.66718959419029</v>
      </c>
    </row>
    <row r="482" spans="1:7" hidden="1" x14ac:dyDescent="0.25">
      <c r="B482" s="1"/>
      <c r="D482" s="3"/>
      <c r="E482"/>
      <c r="F482" t="e">
        <f>Table1[[#This Row],[Life expectancy at birth, total (years) '[SP.DYN.LE00.IN']]]/Table1[[#This Row],[Current health expenditure per capita (current US$) '[SH.XPD.CHEX.PC.CD']]]</f>
        <v>#DIV/0!</v>
      </c>
      <c r="G482" s="2" t="e">
        <f>Table1[[#This Row],[Life expectancy at birth, total (years) '[SP.DYN.LE00.IN']]]/Table1[[#This Row],[Current health expenditure per capita (current US$) '[SH.XPD.CHEX.PC.CD']]]*1000</f>
        <v>#DIV/0!</v>
      </c>
    </row>
    <row r="483" spans="1:7" x14ac:dyDescent="0.25">
      <c r="A483" s="5" t="s">
        <v>86</v>
      </c>
      <c r="B483" s="6" t="s">
        <v>401</v>
      </c>
      <c r="C483" s="5">
        <v>2015</v>
      </c>
      <c r="D483" s="7">
        <v>396.23742676000001</v>
      </c>
      <c r="E483" s="11">
        <v>69.968000000000004</v>
      </c>
      <c r="F483" s="10">
        <f>Table1[[#This Row],[Life expectancy at birth, total (years) '[SP.DYN.LE00.IN']]]/Table1[[#This Row],[Current health expenditure per capita (current US$) '[SH.XPD.CHEX.PC.CD']]]</f>
        <v>0.17658099733819299</v>
      </c>
      <c r="G483" s="4">
        <f>Table1[[#This Row],[Life expectancy at birth, total (years) '[SP.DYN.LE00.IN']]]/Table1[[#This Row],[Current health expenditure per capita (current US$) '[SH.XPD.CHEX.PC.CD']]]*1000</f>
        <v>176.58099733819299</v>
      </c>
    </row>
    <row r="484" spans="1:7" x14ac:dyDescent="0.25">
      <c r="A484" s="5" t="s">
        <v>86</v>
      </c>
      <c r="B484" s="6" t="s">
        <v>401</v>
      </c>
      <c r="C484" s="5">
        <v>2016</v>
      </c>
      <c r="D484" s="7">
        <v>424.15756226000002</v>
      </c>
      <c r="E484" s="11">
        <v>71.188999999999993</v>
      </c>
      <c r="F484" s="10">
        <f>Table1[[#This Row],[Life expectancy at birth, total (years) '[SP.DYN.LE00.IN']]]/Table1[[#This Row],[Current health expenditure per capita (current US$) '[SH.XPD.CHEX.PC.CD']]]</f>
        <v>0.16783621544005992</v>
      </c>
      <c r="G484" s="4">
        <f>Table1[[#This Row],[Life expectancy at birth, total (years) '[SP.DYN.LE00.IN']]]/Table1[[#This Row],[Current health expenditure per capita (current US$) '[SH.XPD.CHEX.PC.CD']]]*1000</f>
        <v>167.8362154400599</v>
      </c>
    </row>
    <row r="485" spans="1:7" x14ac:dyDescent="0.25">
      <c r="A485" s="5" t="s">
        <v>86</v>
      </c>
      <c r="B485" s="6" t="s">
        <v>401</v>
      </c>
      <c r="C485" s="5">
        <v>2017</v>
      </c>
      <c r="D485" s="7">
        <v>415.87072754000002</v>
      </c>
      <c r="E485" s="11">
        <v>68.62</v>
      </c>
      <c r="F485" s="10">
        <f>Table1[[#This Row],[Life expectancy at birth, total (years) '[SP.DYN.LE00.IN']]]/Table1[[#This Row],[Current health expenditure per capita (current US$) '[SH.XPD.CHEX.PC.CD']]]</f>
        <v>0.16500319800315802</v>
      </c>
      <c r="G485" s="4">
        <f>Table1[[#This Row],[Life expectancy at birth, total (years) '[SP.DYN.LE00.IN']]]/Table1[[#This Row],[Current health expenditure per capita (current US$) '[SH.XPD.CHEX.PC.CD']]]*1000</f>
        <v>165.00319800315802</v>
      </c>
    </row>
    <row r="486" spans="1:7" x14ac:dyDescent="0.25">
      <c r="A486" s="5" t="s">
        <v>86</v>
      </c>
      <c r="B486" s="6" t="s">
        <v>401</v>
      </c>
      <c r="C486" s="5">
        <v>2018</v>
      </c>
      <c r="D486" s="7">
        <v>503.34179688</v>
      </c>
      <c r="E486" s="11">
        <v>71.378</v>
      </c>
      <c r="F486" s="10">
        <f>Table1[[#This Row],[Life expectancy at birth, total (years) '[SP.DYN.LE00.IN']]]/Table1[[#This Row],[Current health expenditure per capita (current US$) '[SH.XPD.CHEX.PC.CD']]]</f>
        <v>0.14180821152235246</v>
      </c>
      <c r="G486" s="4">
        <f>Table1[[#This Row],[Life expectancy at birth, total (years) '[SP.DYN.LE00.IN']]]/Table1[[#This Row],[Current health expenditure per capita (current US$) '[SH.XPD.CHEX.PC.CD']]]*1000</f>
        <v>141.80821152235245</v>
      </c>
    </row>
    <row r="487" spans="1:7" x14ac:dyDescent="0.25">
      <c r="A487" s="5" t="s">
        <v>86</v>
      </c>
      <c r="B487" s="6" t="s">
        <v>401</v>
      </c>
      <c r="C487" s="5">
        <v>2019</v>
      </c>
      <c r="D487" s="7">
        <v>465.63766478999997</v>
      </c>
      <c r="E487" s="11">
        <v>71.305000000000007</v>
      </c>
      <c r="F487" s="10">
        <f>Table1[[#This Row],[Life expectancy at birth, total (years) '[SP.DYN.LE00.IN']]]/Table1[[#This Row],[Current health expenditure per capita (current US$) '[SH.XPD.CHEX.PC.CD']]]</f>
        <v>0.15313408985537752</v>
      </c>
      <c r="G487" s="4">
        <f>Table1[[#This Row],[Life expectancy at birth, total (years) '[SP.DYN.LE00.IN']]]/Table1[[#This Row],[Current health expenditure per capita (current US$) '[SH.XPD.CHEX.PC.CD']]]*1000</f>
        <v>153.13408985537751</v>
      </c>
    </row>
    <row r="488" spans="1:7" x14ac:dyDescent="0.25">
      <c r="A488" s="5" t="s">
        <v>86</v>
      </c>
      <c r="B488" s="6" t="s">
        <v>401</v>
      </c>
      <c r="C488" s="5">
        <v>2020</v>
      </c>
      <c r="D488" s="7">
        <v>452.65899658000001</v>
      </c>
      <c r="E488" s="11">
        <v>71.269000000000005</v>
      </c>
      <c r="F488" s="10">
        <f>Table1[[#This Row],[Life expectancy at birth, total (years) '[SP.DYN.LE00.IN']]]/Table1[[#This Row],[Current health expenditure per capita (current US$) '[SH.XPD.CHEX.PC.CD']]]</f>
        <v>0.15744523037973993</v>
      </c>
      <c r="G488" s="4">
        <f>Table1[[#This Row],[Life expectancy at birth, total (years) '[SP.DYN.LE00.IN']]]/Table1[[#This Row],[Current health expenditure per capita (current US$) '[SH.XPD.CHEX.PC.CD']]]*1000</f>
        <v>157.44523037973994</v>
      </c>
    </row>
    <row r="489" spans="1:7" x14ac:dyDescent="0.25">
      <c r="A489" s="5" t="s">
        <v>86</v>
      </c>
      <c r="B489" s="6" t="s">
        <v>401</v>
      </c>
      <c r="C489" s="5">
        <v>2021</v>
      </c>
      <c r="D489" s="7">
        <v>521.41455078000001</v>
      </c>
      <c r="E489" s="11">
        <v>69.831999999999994</v>
      </c>
      <c r="F489" s="10">
        <f>Table1[[#This Row],[Life expectancy at birth, total (years) '[SP.DYN.LE00.IN']]]/Table1[[#This Row],[Current health expenditure per capita (current US$) '[SH.XPD.CHEX.PC.CD']]]</f>
        <v>0.13392798473985079</v>
      </c>
      <c r="G489" s="4">
        <f>Table1[[#This Row],[Life expectancy at birth, total (years) '[SP.DYN.LE00.IN']]]/Table1[[#This Row],[Current health expenditure per capita (current US$) '[SH.XPD.CHEX.PC.CD']]]*1000</f>
        <v>133.92798473985079</v>
      </c>
    </row>
    <row r="490" spans="1:7" x14ac:dyDescent="0.25">
      <c r="A490" s="5" t="s">
        <v>86</v>
      </c>
      <c r="B490" s="6" t="s">
        <v>401</v>
      </c>
      <c r="C490" s="5">
        <v>2022</v>
      </c>
      <c r="D490" s="7">
        <v>542.53948975000003</v>
      </c>
      <c r="E490" s="11">
        <v>71.081000000000003</v>
      </c>
      <c r="F490" s="10">
        <f>Table1[[#This Row],[Life expectancy at birth, total (years) '[SP.DYN.LE00.IN']]]/Table1[[#This Row],[Current health expenditure per capita (current US$) '[SH.XPD.CHEX.PC.CD']]]</f>
        <v>0.13101534790168701</v>
      </c>
      <c r="G490" s="4">
        <f>Table1[[#This Row],[Life expectancy at birth, total (years) '[SP.DYN.LE00.IN']]]/Table1[[#This Row],[Current health expenditure per capita (current US$) '[SH.XPD.CHEX.PC.CD']]]*1000</f>
        <v>131.01534790168699</v>
      </c>
    </row>
    <row r="491" spans="1:7" x14ac:dyDescent="0.25">
      <c r="A491" s="5" t="s">
        <v>86</v>
      </c>
      <c r="B491" s="6" t="s">
        <v>401</v>
      </c>
      <c r="C491" s="5">
        <v>2023</v>
      </c>
      <c r="D491" s="7">
        <v>492.45242309999998</v>
      </c>
      <c r="E491" s="11">
        <v>71.132000000000005</v>
      </c>
      <c r="F491" s="10">
        <f>Table1[[#This Row],[Life expectancy at birth, total (years) '[SP.DYN.LE00.IN']]]/Table1[[#This Row],[Current health expenditure per capita (current US$) '[SH.XPD.CHEX.PC.CD']]]</f>
        <v>0.14444441059345861</v>
      </c>
      <c r="G491" s="4">
        <f>Table1[[#This Row],[Life expectancy at birth, total (years) '[SP.DYN.LE00.IN']]]/Table1[[#This Row],[Current health expenditure per capita (current US$) '[SH.XPD.CHEX.PC.CD']]]*1000</f>
        <v>144.4444105934586</v>
      </c>
    </row>
    <row r="492" spans="1:7" hidden="1" x14ac:dyDescent="0.25">
      <c r="B492" s="1"/>
      <c r="D492" s="3"/>
      <c r="E492"/>
      <c r="F492" t="e">
        <f>Table1[[#This Row],[Life expectancy at birth, total (years) '[SP.DYN.LE00.IN']]]/Table1[[#This Row],[Current health expenditure per capita (current US$) '[SH.XPD.CHEX.PC.CD']]]</f>
        <v>#DIV/0!</v>
      </c>
      <c r="G492" s="2" t="e">
        <f>Table1[[#This Row],[Life expectancy at birth, total (years) '[SP.DYN.LE00.IN']]]/Table1[[#This Row],[Current health expenditure per capita (current US$) '[SH.XPD.CHEX.PC.CD']]]*1000</f>
        <v>#DIV/0!</v>
      </c>
    </row>
    <row r="493" spans="1:7" x14ac:dyDescent="0.25">
      <c r="A493" s="5" t="s">
        <v>168</v>
      </c>
      <c r="B493" s="6" t="s">
        <v>91</v>
      </c>
      <c r="C493" s="5">
        <v>2015</v>
      </c>
      <c r="D493" s="7">
        <v>322.04864501999998</v>
      </c>
      <c r="E493" s="11">
        <v>72.981999999999999</v>
      </c>
      <c r="F493" s="10">
        <f>Table1[[#This Row],[Life expectancy at birth, total (years) '[SP.DYN.LE00.IN']]]/Table1[[#This Row],[Current health expenditure per capita (current US$) '[SH.XPD.CHEX.PC.CD']]]</f>
        <v>0.22661793840327335</v>
      </c>
      <c r="G493" s="4">
        <f>Table1[[#This Row],[Life expectancy at birth, total (years) '[SP.DYN.LE00.IN']]]/Table1[[#This Row],[Current health expenditure per capita (current US$) '[SH.XPD.CHEX.PC.CD']]]*1000</f>
        <v>226.61793840327334</v>
      </c>
    </row>
    <row r="494" spans="1:7" x14ac:dyDescent="0.25">
      <c r="A494" s="5" t="s">
        <v>168</v>
      </c>
      <c r="B494" s="6" t="s">
        <v>91</v>
      </c>
      <c r="C494" s="5">
        <v>2016</v>
      </c>
      <c r="D494" s="7">
        <v>328.36526488999999</v>
      </c>
      <c r="E494" s="11">
        <v>72.888999999999996</v>
      </c>
      <c r="F494" s="10">
        <f>Table1[[#This Row],[Life expectancy at birth, total (years) '[SP.DYN.LE00.IN']]]/Table1[[#This Row],[Current health expenditure per capita (current US$) '[SH.XPD.CHEX.PC.CD']]]</f>
        <v>0.22197536643961804</v>
      </c>
      <c r="G494" s="4">
        <f>Table1[[#This Row],[Life expectancy at birth, total (years) '[SP.DYN.LE00.IN']]]/Table1[[#This Row],[Current health expenditure per capita (current US$) '[SH.XPD.CHEX.PC.CD']]]*1000</f>
        <v>221.97536643961806</v>
      </c>
    </row>
    <row r="495" spans="1:7" x14ac:dyDescent="0.25">
      <c r="A495" s="5" t="s">
        <v>168</v>
      </c>
      <c r="B495" s="6" t="s">
        <v>91</v>
      </c>
      <c r="C495" s="5">
        <v>2017</v>
      </c>
      <c r="D495" s="7">
        <v>329.54168700999998</v>
      </c>
      <c r="E495" s="11">
        <v>73.37</v>
      </c>
      <c r="F495" s="10">
        <f>Table1[[#This Row],[Life expectancy at birth, total (years) '[SP.DYN.LE00.IN']]]/Table1[[#This Row],[Current health expenditure per capita (current US$) '[SH.XPD.CHEX.PC.CD']]]</f>
        <v>0.22264254536565986</v>
      </c>
      <c r="G495" s="4">
        <f>Table1[[#This Row],[Life expectancy at birth, total (years) '[SP.DYN.LE00.IN']]]/Table1[[#This Row],[Current health expenditure per capita (current US$) '[SH.XPD.CHEX.PC.CD']]]*1000</f>
        <v>222.64254536565986</v>
      </c>
    </row>
    <row r="496" spans="1:7" x14ac:dyDescent="0.25">
      <c r="A496" s="5" t="s">
        <v>168</v>
      </c>
      <c r="B496" s="6" t="s">
        <v>91</v>
      </c>
      <c r="C496" s="5">
        <v>2018</v>
      </c>
      <c r="D496" s="7">
        <v>332.47702026000002</v>
      </c>
      <c r="E496" s="11">
        <v>73.555000000000007</v>
      </c>
      <c r="F496" s="10">
        <f>Table1[[#This Row],[Life expectancy at birth, total (years) '[SP.DYN.LE00.IN']]]/Table1[[#This Row],[Current health expenditure per capita (current US$) '[SH.XPD.CHEX.PC.CD']]]</f>
        <v>0.22123333499102987</v>
      </c>
      <c r="G496" s="4">
        <f>Table1[[#This Row],[Life expectancy at birth, total (years) '[SP.DYN.LE00.IN']]]/Table1[[#This Row],[Current health expenditure per capita (current US$) '[SH.XPD.CHEX.PC.CD']]]*1000</f>
        <v>221.23333499102986</v>
      </c>
    </row>
    <row r="497" spans="1:7" x14ac:dyDescent="0.25">
      <c r="A497" s="5" t="s">
        <v>168</v>
      </c>
      <c r="B497" s="6" t="s">
        <v>91</v>
      </c>
      <c r="C497" s="5">
        <v>2019</v>
      </c>
      <c r="D497" s="7">
        <v>357.44137573</v>
      </c>
      <c r="E497" s="11">
        <v>73.111999999999995</v>
      </c>
      <c r="F497" s="10">
        <f>Table1[[#This Row],[Life expectancy at birth, total (years) '[SP.DYN.LE00.IN']]]/Table1[[#This Row],[Current health expenditure per capita (current US$) '[SH.XPD.CHEX.PC.CD']]]</f>
        <v>0.20454263262243738</v>
      </c>
      <c r="G497" s="4">
        <f>Table1[[#This Row],[Life expectancy at birth, total (years) '[SP.DYN.LE00.IN']]]/Table1[[#This Row],[Current health expenditure per capita (current US$) '[SH.XPD.CHEX.PC.CD']]]*1000</f>
        <v>204.5426326224374</v>
      </c>
    </row>
    <row r="498" spans="1:7" x14ac:dyDescent="0.25">
      <c r="A498" s="5" t="s">
        <v>168</v>
      </c>
      <c r="B498" s="6" t="s">
        <v>91</v>
      </c>
      <c r="C498" s="5">
        <v>2020</v>
      </c>
      <c r="D498" s="7">
        <v>354.25689697000001</v>
      </c>
      <c r="E498" s="11">
        <v>72.635999999999996</v>
      </c>
      <c r="F498" s="10">
        <f>Table1[[#This Row],[Life expectancy at birth, total (years) '[SP.DYN.LE00.IN']]]/Table1[[#This Row],[Current health expenditure per capita (current US$) '[SH.XPD.CHEX.PC.CD']]]</f>
        <v>0.20503764533948121</v>
      </c>
      <c r="G498" s="4">
        <f>Table1[[#This Row],[Life expectancy at birth, total (years) '[SP.DYN.LE00.IN']]]/Table1[[#This Row],[Current health expenditure per capita (current US$) '[SH.XPD.CHEX.PC.CD']]]*1000</f>
        <v>205.0376453394812</v>
      </c>
    </row>
    <row r="499" spans="1:7" x14ac:dyDescent="0.25">
      <c r="A499" s="5" t="s">
        <v>168</v>
      </c>
      <c r="B499" s="6" t="s">
        <v>91</v>
      </c>
      <c r="C499" s="5">
        <v>2021</v>
      </c>
      <c r="D499" s="7">
        <v>433.89172363</v>
      </c>
      <c r="E499" s="11">
        <v>71.757000000000005</v>
      </c>
      <c r="F499" s="10">
        <f>Table1[[#This Row],[Life expectancy at birth, total (years) '[SP.DYN.LE00.IN']]]/Table1[[#This Row],[Current health expenditure per capita (current US$) '[SH.XPD.CHEX.PC.CD']]]</f>
        <v>0.16537996945337127</v>
      </c>
      <c r="G499" s="4">
        <f>Table1[[#This Row],[Life expectancy at birth, total (years) '[SP.DYN.LE00.IN']]]/Table1[[#This Row],[Current health expenditure per capita (current US$) '[SH.XPD.CHEX.PC.CD']]]*1000</f>
        <v>165.37996945337127</v>
      </c>
    </row>
    <row r="500" spans="1:7" x14ac:dyDescent="0.25">
      <c r="A500" s="5" t="s">
        <v>168</v>
      </c>
      <c r="B500" s="6" t="s">
        <v>91</v>
      </c>
      <c r="C500" s="5">
        <v>2022</v>
      </c>
      <c r="D500" s="7">
        <v>469.34915160999998</v>
      </c>
      <c r="E500" s="11">
        <v>74.210999999999999</v>
      </c>
      <c r="F500" s="10">
        <f>Table1[[#This Row],[Life expectancy at birth, total (years) '[SP.DYN.LE00.IN']]]/Table1[[#This Row],[Current health expenditure per capita (current US$) '[SH.XPD.CHEX.PC.CD']]]</f>
        <v>0.15811469935640735</v>
      </c>
      <c r="G500" s="4">
        <f>Table1[[#This Row],[Life expectancy at birth, total (years) '[SP.DYN.LE00.IN']]]/Table1[[#This Row],[Current health expenditure per capita (current US$) '[SH.XPD.CHEX.PC.CD']]]*1000</f>
        <v>158.11469935640736</v>
      </c>
    </row>
    <row r="501" spans="1:7" x14ac:dyDescent="0.25">
      <c r="A501" s="5" t="s">
        <v>168</v>
      </c>
      <c r="B501" s="6" t="s">
        <v>91</v>
      </c>
      <c r="C501" s="5">
        <v>2023</v>
      </c>
      <c r="D501" s="7">
        <v>488.87274170000001</v>
      </c>
      <c r="E501" s="11">
        <v>73.72</v>
      </c>
      <c r="F501" s="10">
        <f>Table1[[#This Row],[Life expectancy at birth, total (years) '[SP.DYN.LE00.IN']]]/Table1[[#This Row],[Current health expenditure per capita (current US$) '[SH.XPD.CHEX.PC.CD']]]</f>
        <v>0.15079588962895943</v>
      </c>
      <c r="G501" s="4">
        <f>Table1[[#This Row],[Life expectancy at birth, total (years) '[SP.DYN.LE00.IN']]]/Table1[[#This Row],[Current health expenditure per capita (current US$) '[SH.XPD.CHEX.PC.CD']]]*1000</f>
        <v>150.79588962895943</v>
      </c>
    </row>
    <row r="502" spans="1:7" hidden="1" x14ac:dyDescent="0.25">
      <c r="B502" s="1"/>
      <c r="D502" s="3"/>
      <c r="E502"/>
      <c r="F502" t="e">
        <f>Table1[[#This Row],[Life expectancy at birth, total (years) '[SP.DYN.LE00.IN']]]/Table1[[#This Row],[Current health expenditure per capita (current US$) '[SH.XPD.CHEX.PC.CD']]]</f>
        <v>#DIV/0!</v>
      </c>
      <c r="G502" s="2" t="e">
        <f>Table1[[#This Row],[Life expectancy at birth, total (years) '[SP.DYN.LE00.IN']]]/Table1[[#This Row],[Current health expenditure per capita (current US$) '[SH.XPD.CHEX.PC.CD']]]*1000</f>
        <v>#DIV/0!</v>
      </c>
    </row>
    <row r="503" spans="1:7" x14ac:dyDescent="0.25">
      <c r="A503" s="5" t="s">
        <v>31</v>
      </c>
      <c r="B503" s="6" t="s">
        <v>4</v>
      </c>
      <c r="C503" s="5">
        <v>2015</v>
      </c>
      <c r="D503" s="7">
        <v>464.22186278999999</v>
      </c>
      <c r="E503" s="11">
        <v>76.221999999999994</v>
      </c>
      <c r="F503" s="10">
        <f>Table1[[#This Row],[Life expectancy at birth, total (years) '[SP.DYN.LE00.IN']]]/Table1[[#This Row],[Current health expenditure per capita (current US$) '[SH.XPD.CHEX.PC.CD']]]</f>
        <v>0.16419304239981591</v>
      </c>
      <c r="G503" s="4">
        <f>Table1[[#This Row],[Life expectancy at birth, total (years) '[SP.DYN.LE00.IN']]]/Table1[[#This Row],[Current health expenditure per capita (current US$) '[SH.XPD.CHEX.PC.CD']]]*1000</f>
        <v>164.19304239981591</v>
      </c>
    </row>
    <row r="504" spans="1:7" x14ac:dyDescent="0.25">
      <c r="A504" s="5" t="s">
        <v>31</v>
      </c>
      <c r="B504" s="6" t="s">
        <v>4</v>
      </c>
      <c r="C504" s="5">
        <v>2016</v>
      </c>
      <c r="D504" s="7">
        <v>449.03869629000002</v>
      </c>
      <c r="E504" s="11">
        <v>76.093999999999994</v>
      </c>
      <c r="F504" s="10">
        <f>Table1[[#This Row],[Life expectancy at birth, total (years) '[SP.DYN.LE00.IN']]]/Table1[[#This Row],[Current health expenditure per capita (current US$) '[SH.XPD.CHEX.PC.CD']]]</f>
        <v>0.16945978292894529</v>
      </c>
      <c r="G504" s="4">
        <f>Table1[[#This Row],[Life expectancy at birth, total (years) '[SP.DYN.LE00.IN']]]/Table1[[#This Row],[Current health expenditure per capita (current US$) '[SH.XPD.CHEX.PC.CD']]]*1000</f>
        <v>169.45978292894529</v>
      </c>
    </row>
    <row r="505" spans="1:7" x14ac:dyDescent="0.25">
      <c r="A505" s="5" t="s">
        <v>31</v>
      </c>
      <c r="B505" s="6" t="s">
        <v>4</v>
      </c>
      <c r="C505" s="5">
        <v>2017</v>
      </c>
      <c r="D505" s="7">
        <v>469.04544067</v>
      </c>
      <c r="E505" s="11">
        <v>76.22</v>
      </c>
      <c r="F505" s="10">
        <f>Table1[[#This Row],[Life expectancy at birth, total (years) '[SP.DYN.LE00.IN']]]/Table1[[#This Row],[Current health expenditure per capita (current US$) '[SH.XPD.CHEX.PC.CD']]]</f>
        <v>0.16250024707867286</v>
      </c>
      <c r="G505" s="4">
        <f>Table1[[#This Row],[Life expectancy at birth, total (years) '[SP.DYN.LE00.IN']]]/Table1[[#This Row],[Current health expenditure per capita (current US$) '[SH.XPD.CHEX.PC.CD']]]*1000</f>
        <v>162.50024707867286</v>
      </c>
    </row>
    <row r="506" spans="1:7" x14ac:dyDescent="0.25">
      <c r="A506" s="5" t="s">
        <v>31</v>
      </c>
      <c r="B506" s="6" t="s">
        <v>4</v>
      </c>
      <c r="C506" s="5">
        <v>2018</v>
      </c>
      <c r="D506" s="7">
        <v>493.82693481000001</v>
      </c>
      <c r="E506" s="11">
        <v>77.248000000000005</v>
      </c>
      <c r="F506" s="10">
        <f>Table1[[#This Row],[Life expectancy at birth, total (years) '[SP.DYN.LE00.IN']]]/Table1[[#This Row],[Current health expenditure per capita (current US$) '[SH.XPD.CHEX.PC.CD']]]</f>
        <v>0.15642727148878824</v>
      </c>
      <c r="G506" s="4">
        <f>Table1[[#This Row],[Life expectancy at birth, total (years) '[SP.DYN.LE00.IN']]]/Table1[[#This Row],[Current health expenditure per capita (current US$) '[SH.XPD.CHEX.PC.CD']]]*1000</f>
        <v>156.42727148878825</v>
      </c>
    </row>
    <row r="507" spans="1:7" x14ac:dyDescent="0.25">
      <c r="A507" s="5" t="s">
        <v>31</v>
      </c>
      <c r="B507" s="6" t="s">
        <v>4</v>
      </c>
      <c r="C507" s="5">
        <v>2019</v>
      </c>
      <c r="D507" s="7">
        <v>484.54037476000002</v>
      </c>
      <c r="E507" s="11">
        <v>77.286000000000001</v>
      </c>
      <c r="F507" s="10">
        <f>Table1[[#This Row],[Life expectancy at birth, total (years) '[SP.DYN.LE00.IN']]]/Table1[[#This Row],[Current health expenditure per capita (current US$) '[SH.XPD.CHEX.PC.CD']]]</f>
        <v>0.15950373596479117</v>
      </c>
      <c r="G507" s="4">
        <f>Table1[[#This Row],[Life expectancy at birth, total (years) '[SP.DYN.LE00.IN']]]/Table1[[#This Row],[Current health expenditure per capita (current US$) '[SH.XPD.CHEX.PC.CD']]]*1000</f>
        <v>159.50373596479116</v>
      </c>
    </row>
    <row r="508" spans="1:7" x14ac:dyDescent="0.25">
      <c r="A508" s="5" t="s">
        <v>31</v>
      </c>
      <c r="B508" s="6" t="s">
        <v>4</v>
      </c>
      <c r="C508" s="5">
        <v>2020</v>
      </c>
      <c r="D508" s="7">
        <v>470.20355224999997</v>
      </c>
      <c r="E508" s="11">
        <v>72.004000000000005</v>
      </c>
      <c r="F508" s="10">
        <f>Table1[[#This Row],[Life expectancy at birth, total (years) '[SP.DYN.LE00.IN']]]/Table1[[#This Row],[Current health expenditure per capita (current US$) '[SH.XPD.CHEX.PC.CD']]]</f>
        <v>0.15313367935110067</v>
      </c>
      <c r="G508" s="4">
        <f>Table1[[#This Row],[Life expectancy at birth, total (years) '[SP.DYN.LE00.IN']]]/Table1[[#This Row],[Current health expenditure per capita (current US$) '[SH.XPD.CHEX.PC.CD']]]*1000</f>
        <v>153.13367935110068</v>
      </c>
    </row>
    <row r="509" spans="1:7" x14ac:dyDescent="0.25">
      <c r="A509" s="5" t="s">
        <v>31</v>
      </c>
      <c r="B509" s="6" t="s">
        <v>4</v>
      </c>
      <c r="C509" s="5">
        <v>2021</v>
      </c>
      <c r="D509" s="7">
        <v>507.65136718999997</v>
      </c>
      <c r="E509" s="11">
        <v>72.745999999999995</v>
      </c>
      <c r="F509" s="10">
        <f>Table1[[#This Row],[Life expectancy at birth, total (years) '[SP.DYN.LE00.IN']]]/Table1[[#This Row],[Current health expenditure per capita (current US$) '[SH.XPD.CHEX.PC.CD']]]</f>
        <v>0.14329913145446757</v>
      </c>
      <c r="G509" s="4">
        <f>Table1[[#This Row],[Life expectancy at birth, total (years) '[SP.DYN.LE00.IN']]]/Table1[[#This Row],[Current health expenditure per capita (current US$) '[SH.XPD.CHEX.PC.CD']]]*1000</f>
        <v>143.29913145446758</v>
      </c>
    </row>
    <row r="510" spans="1:7" x14ac:dyDescent="0.25">
      <c r="A510" s="5" t="s">
        <v>31</v>
      </c>
      <c r="B510" s="6" t="s">
        <v>4</v>
      </c>
      <c r="C510" s="5">
        <v>2022</v>
      </c>
      <c r="D510" s="7">
        <v>495.30380249000001</v>
      </c>
      <c r="E510" s="11">
        <v>76.576999999999998</v>
      </c>
      <c r="F510" s="10">
        <f>Table1[[#This Row],[Life expectancy at birth, total (years) '[SP.DYN.LE00.IN']]]/Table1[[#This Row],[Current health expenditure per capita (current US$) '[SH.XPD.CHEX.PC.CD']]]</f>
        <v>0.15460612176815675</v>
      </c>
      <c r="G510" s="4">
        <f>Table1[[#This Row],[Life expectancy at birth, total (years) '[SP.DYN.LE00.IN']]]/Table1[[#This Row],[Current health expenditure per capita (current US$) '[SH.XPD.CHEX.PC.CD']]]*1000</f>
        <v>154.60612176815675</v>
      </c>
    </row>
    <row r="511" spans="1:7" x14ac:dyDescent="0.25">
      <c r="A511" s="5" t="s">
        <v>31</v>
      </c>
      <c r="B511" s="6" t="s">
        <v>4</v>
      </c>
      <c r="C511" s="5">
        <v>2023</v>
      </c>
      <c r="D511" s="7">
        <v>509.49414063</v>
      </c>
      <c r="E511" s="11">
        <v>77.391999999999996</v>
      </c>
      <c r="F511" s="10">
        <f>Table1[[#This Row],[Life expectancy at birth, total (years) '[SP.DYN.LE00.IN']]]/Table1[[#This Row],[Current health expenditure per capita (current US$) '[SH.XPD.CHEX.PC.CD']]]</f>
        <v>0.15189968603820095</v>
      </c>
      <c r="G511" s="4">
        <f>Table1[[#This Row],[Life expectancy at birth, total (years) '[SP.DYN.LE00.IN']]]/Table1[[#This Row],[Current health expenditure per capita (current US$) '[SH.XPD.CHEX.PC.CD']]]*1000</f>
        <v>151.89968603820094</v>
      </c>
    </row>
    <row r="512" spans="1:7" hidden="1" x14ac:dyDescent="0.25">
      <c r="B512" s="1"/>
      <c r="D512" s="3"/>
      <c r="E512"/>
      <c r="F512" t="e">
        <f>Table1[[#This Row],[Life expectancy at birth, total (years) '[SP.DYN.LE00.IN']]]/Table1[[#This Row],[Current health expenditure per capita (current US$) '[SH.XPD.CHEX.PC.CD']]]</f>
        <v>#DIV/0!</v>
      </c>
      <c r="G512" s="2" t="e">
        <f>Table1[[#This Row],[Life expectancy at birth, total (years) '[SP.DYN.LE00.IN']]]/Table1[[#This Row],[Current health expenditure per capita (current US$) '[SH.XPD.CHEX.PC.CD']]]*1000</f>
        <v>#DIV/0!</v>
      </c>
    </row>
    <row r="513" spans="1:7" x14ac:dyDescent="0.25">
      <c r="A513" s="5" t="s">
        <v>219</v>
      </c>
      <c r="B513" s="6" t="s">
        <v>379</v>
      </c>
      <c r="C513" s="5">
        <v>2015</v>
      </c>
      <c r="D513" s="7">
        <v>170.25532532</v>
      </c>
      <c r="E513" s="11">
        <v>70.135000000000005</v>
      </c>
      <c r="F513" s="10">
        <f>Table1[[#This Row],[Life expectancy at birth, total (years) '[SP.DYN.LE00.IN']]]/Table1[[#This Row],[Current health expenditure per capita (current US$) '[SH.XPD.CHEX.PC.CD']]]</f>
        <v>0.41194012503385236</v>
      </c>
      <c r="G513" s="4">
        <f>Table1[[#This Row],[Life expectancy at birth, total (years) '[SP.DYN.LE00.IN']]]/Table1[[#This Row],[Current health expenditure per capita (current US$) '[SH.XPD.CHEX.PC.CD']]]*1000</f>
        <v>411.94012503385238</v>
      </c>
    </row>
    <row r="514" spans="1:7" x14ac:dyDescent="0.25">
      <c r="A514" s="5" t="s">
        <v>219</v>
      </c>
      <c r="B514" s="6" t="s">
        <v>379</v>
      </c>
      <c r="C514" s="5">
        <v>2016</v>
      </c>
      <c r="D514" s="7">
        <v>142.61845398</v>
      </c>
      <c r="E514" s="11">
        <v>70.436999999999998</v>
      </c>
      <c r="F514" s="10">
        <f>Table1[[#This Row],[Life expectancy at birth, total (years) '[SP.DYN.LE00.IN']]]/Table1[[#This Row],[Current health expenditure per capita (current US$) '[SH.XPD.CHEX.PC.CD']]]</f>
        <v>0.49388419264366507</v>
      </c>
      <c r="G514" s="4">
        <f>Table1[[#This Row],[Life expectancy at birth, total (years) '[SP.DYN.LE00.IN']]]/Table1[[#This Row],[Current health expenditure per capita (current US$) '[SH.XPD.CHEX.PC.CD']]]*1000</f>
        <v>493.88419264366507</v>
      </c>
    </row>
    <row r="515" spans="1:7" x14ac:dyDescent="0.25">
      <c r="A515" s="5" t="s">
        <v>219</v>
      </c>
      <c r="B515" s="6" t="s">
        <v>379</v>
      </c>
      <c r="C515" s="5">
        <v>2017</v>
      </c>
      <c r="D515" s="7">
        <v>106.00288390999999</v>
      </c>
      <c r="E515" s="11">
        <v>70.709000000000003</v>
      </c>
      <c r="F515" s="10">
        <f>Table1[[#This Row],[Life expectancy at birth, total (years) '[SP.DYN.LE00.IN']]]/Table1[[#This Row],[Current health expenditure per capita (current US$) '[SH.XPD.CHEX.PC.CD']]]</f>
        <v>0.66704788956529071</v>
      </c>
      <c r="G515" s="4">
        <f>Table1[[#This Row],[Life expectancy at birth, total (years) '[SP.DYN.LE00.IN']]]/Table1[[#This Row],[Current health expenditure per capita (current US$) '[SH.XPD.CHEX.PC.CD']]]*1000</f>
        <v>667.04788956529069</v>
      </c>
    </row>
    <row r="516" spans="1:7" x14ac:dyDescent="0.25">
      <c r="A516" s="5" t="s">
        <v>219</v>
      </c>
      <c r="B516" s="6" t="s">
        <v>379</v>
      </c>
      <c r="C516" s="5">
        <v>2018</v>
      </c>
      <c r="D516" s="7">
        <v>118.01481628000001</v>
      </c>
      <c r="E516" s="11">
        <v>70.974000000000004</v>
      </c>
      <c r="F516" s="10">
        <f>Table1[[#This Row],[Life expectancy at birth, total (years) '[SP.DYN.LE00.IN']]]/Table1[[#This Row],[Current health expenditure per capita (current US$) '[SH.XPD.CHEX.PC.CD']]]</f>
        <v>0.60139906358544226</v>
      </c>
      <c r="G516" s="4">
        <f>Table1[[#This Row],[Life expectancy at birth, total (years) '[SP.DYN.LE00.IN']]]/Table1[[#This Row],[Current health expenditure per capita (current US$) '[SH.XPD.CHEX.PC.CD']]]*1000</f>
        <v>601.39906358544226</v>
      </c>
    </row>
    <row r="517" spans="1:7" x14ac:dyDescent="0.25">
      <c r="A517" s="5" t="s">
        <v>219</v>
      </c>
      <c r="B517" s="6" t="s">
        <v>379</v>
      </c>
      <c r="C517" s="5">
        <v>2019</v>
      </c>
      <c r="D517" s="7">
        <v>142.69670105</v>
      </c>
      <c r="E517" s="11">
        <v>71.212999999999994</v>
      </c>
      <c r="F517" s="10">
        <f>Table1[[#This Row],[Life expectancy at birth, total (years) '[SP.DYN.LE00.IN']]]/Table1[[#This Row],[Current health expenditure per capita (current US$) '[SH.XPD.CHEX.PC.CD']]]</f>
        <v>0.4990514810503392</v>
      </c>
      <c r="G517" s="4">
        <f>Table1[[#This Row],[Life expectancy at birth, total (years) '[SP.DYN.LE00.IN']]]/Table1[[#This Row],[Current health expenditure per capita (current US$) '[SH.XPD.CHEX.PC.CD']]]*1000</f>
        <v>499.05148105033919</v>
      </c>
    </row>
    <row r="518" spans="1:7" x14ac:dyDescent="0.25">
      <c r="A518" s="5" t="s">
        <v>219</v>
      </c>
      <c r="B518" s="6" t="s">
        <v>379</v>
      </c>
      <c r="C518" s="5">
        <v>2020</v>
      </c>
      <c r="D518" s="7">
        <v>148.35269165</v>
      </c>
      <c r="E518" s="11">
        <v>69.790000000000006</v>
      </c>
      <c r="F518" s="10">
        <f>Table1[[#This Row],[Life expectancy at birth, total (years) '[SP.DYN.LE00.IN']]]/Table1[[#This Row],[Current health expenditure per capita (current US$) '[SH.XPD.CHEX.PC.CD']]]</f>
        <v>0.47043298792752308</v>
      </c>
      <c r="G518" s="4">
        <f>Table1[[#This Row],[Life expectancy at birth, total (years) '[SP.DYN.LE00.IN']]]/Table1[[#This Row],[Current health expenditure per capita (current US$) '[SH.XPD.CHEX.PC.CD']]]*1000</f>
        <v>470.43298792752307</v>
      </c>
    </row>
    <row r="519" spans="1:7" x14ac:dyDescent="0.25">
      <c r="A519" s="5" t="s">
        <v>219</v>
      </c>
      <c r="B519" s="6" t="s">
        <v>379</v>
      </c>
      <c r="C519" s="5">
        <v>2021</v>
      </c>
      <c r="D519" s="7">
        <v>176.93664551000001</v>
      </c>
      <c r="E519" s="11">
        <v>68.975999999999999</v>
      </c>
      <c r="F519" s="10">
        <f>Table1[[#This Row],[Life expectancy at birth, total (years) '[SP.DYN.LE00.IN']]]/Table1[[#This Row],[Current health expenditure per capita (current US$) '[SH.XPD.CHEX.PC.CD']]]</f>
        <v>0.38983445063731387</v>
      </c>
      <c r="G519" s="4">
        <f>Table1[[#This Row],[Life expectancy at birth, total (years) '[SP.DYN.LE00.IN']]]/Table1[[#This Row],[Current health expenditure per capita (current US$) '[SH.XPD.CHEX.PC.CD']]]*1000</f>
        <v>389.83445063731386</v>
      </c>
    </row>
    <row r="520" spans="1:7" x14ac:dyDescent="0.25">
      <c r="A520" s="5" t="s">
        <v>219</v>
      </c>
      <c r="B520" s="6" t="s">
        <v>379</v>
      </c>
      <c r="C520" s="5">
        <v>2022</v>
      </c>
      <c r="D520" s="7">
        <v>171.67852783000001</v>
      </c>
      <c r="E520" s="11">
        <v>71.010000000000005</v>
      </c>
      <c r="F520" s="10">
        <f>Table1[[#This Row],[Life expectancy at birth, total (years) '[SP.DYN.LE00.IN']]]/Table1[[#This Row],[Current health expenditure per capita (current US$) '[SH.XPD.CHEX.PC.CD']]]</f>
        <v>0.41362190658062797</v>
      </c>
      <c r="G520" s="4">
        <f>Table1[[#This Row],[Life expectancy at birth, total (years) '[SP.DYN.LE00.IN']]]/Table1[[#This Row],[Current health expenditure per capita (current US$) '[SH.XPD.CHEX.PC.CD']]]*1000</f>
        <v>413.62190658062798</v>
      </c>
    </row>
    <row r="521" spans="1:7" x14ac:dyDescent="0.25">
      <c r="A521" s="5" t="s">
        <v>219</v>
      </c>
      <c r="B521" s="6" t="s">
        <v>379</v>
      </c>
      <c r="C521" s="5">
        <v>2023</v>
      </c>
      <c r="D521" s="7">
        <v>141.41111755</v>
      </c>
      <c r="E521" s="11">
        <v>71.632999999999996</v>
      </c>
      <c r="F521" s="10">
        <f>Table1[[#This Row],[Life expectancy at birth, total (years) '[SP.DYN.LE00.IN']]]/Table1[[#This Row],[Current health expenditure per capita (current US$) '[SH.XPD.CHEX.PC.CD']]]</f>
        <v>0.50655847461690606</v>
      </c>
      <c r="G521" s="4">
        <f>Table1[[#This Row],[Life expectancy at birth, total (years) '[SP.DYN.LE00.IN']]]/Table1[[#This Row],[Current health expenditure per capita (current US$) '[SH.XPD.CHEX.PC.CD']]]*1000</f>
        <v>506.55847461690604</v>
      </c>
    </row>
    <row r="522" spans="1:7" hidden="1" x14ac:dyDescent="0.25">
      <c r="B522" s="1"/>
      <c r="D522" s="3"/>
      <c r="E522"/>
      <c r="F522" t="e">
        <f>Table1[[#This Row],[Life expectancy at birth, total (years) '[SP.DYN.LE00.IN']]]/Table1[[#This Row],[Current health expenditure per capita (current US$) '[SH.XPD.CHEX.PC.CD']]]</f>
        <v>#DIV/0!</v>
      </c>
      <c r="G522" s="2" t="e">
        <f>Table1[[#This Row],[Life expectancy at birth, total (years) '[SP.DYN.LE00.IN']]]/Table1[[#This Row],[Current health expenditure per capita (current US$) '[SH.XPD.CHEX.PC.CD']]]*1000</f>
        <v>#DIV/0!</v>
      </c>
    </row>
    <row r="523" spans="1:7" x14ac:dyDescent="0.25">
      <c r="A523" s="5" t="s">
        <v>246</v>
      </c>
      <c r="B523" s="6" t="s">
        <v>389</v>
      </c>
      <c r="C523" s="5">
        <v>2015</v>
      </c>
      <c r="D523" s="7">
        <v>331.96725464000002</v>
      </c>
      <c r="E523" s="11">
        <v>70.951999999999998</v>
      </c>
      <c r="F523" s="10">
        <f>Table1[[#This Row],[Life expectancy at birth, total (years) '[SP.DYN.LE00.IN']]]/Table1[[#This Row],[Current health expenditure per capita (current US$) '[SH.XPD.CHEX.PC.CD']]]</f>
        <v>0.2137319238819006</v>
      </c>
      <c r="G523" s="4">
        <f>Table1[[#This Row],[Life expectancy at birth, total (years) '[SP.DYN.LE00.IN']]]/Table1[[#This Row],[Current health expenditure per capita (current US$) '[SH.XPD.CHEX.PC.CD']]]*1000</f>
        <v>213.7319238819006</v>
      </c>
    </row>
    <row r="524" spans="1:7" x14ac:dyDescent="0.25">
      <c r="A524" s="5" t="s">
        <v>246</v>
      </c>
      <c r="B524" s="6" t="s">
        <v>389</v>
      </c>
      <c r="C524" s="5">
        <v>2016</v>
      </c>
      <c r="D524" s="7">
        <v>339.97875977000001</v>
      </c>
      <c r="E524" s="11">
        <v>70.908000000000001</v>
      </c>
      <c r="F524" s="10">
        <f>Table1[[#This Row],[Life expectancy at birth, total (years) '[SP.DYN.LE00.IN']]]/Table1[[#This Row],[Current health expenditure per capita (current US$) '[SH.XPD.CHEX.PC.CD']]]</f>
        <v>0.20856597055642587</v>
      </c>
      <c r="G524" s="4">
        <f>Table1[[#This Row],[Life expectancy at birth, total (years) '[SP.DYN.LE00.IN']]]/Table1[[#This Row],[Current health expenditure per capita (current US$) '[SH.XPD.CHEX.PC.CD']]]*1000</f>
        <v>208.56597055642587</v>
      </c>
    </row>
    <row r="525" spans="1:7" x14ac:dyDescent="0.25">
      <c r="A525" s="5" t="s">
        <v>246</v>
      </c>
      <c r="B525" s="6" t="s">
        <v>389</v>
      </c>
      <c r="C525" s="5">
        <v>2017</v>
      </c>
      <c r="D525" s="7">
        <v>338.60742188</v>
      </c>
      <c r="E525" s="11">
        <v>71.007000000000005</v>
      </c>
      <c r="F525" s="10">
        <f>Table1[[#This Row],[Life expectancy at birth, total (years) '[SP.DYN.LE00.IN']]]/Table1[[#This Row],[Current health expenditure per capita (current US$) '[SH.XPD.CHEX.PC.CD']]]</f>
        <v>0.20970302306357705</v>
      </c>
      <c r="G525" s="4">
        <f>Table1[[#This Row],[Life expectancy at birth, total (years) '[SP.DYN.LE00.IN']]]/Table1[[#This Row],[Current health expenditure per capita (current US$) '[SH.XPD.CHEX.PC.CD']]]*1000</f>
        <v>209.70302306357704</v>
      </c>
    </row>
    <row r="526" spans="1:7" x14ac:dyDescent="0.25">
      <c r="A526" s="5" t="s">
        <v>246</v>
      </c>
      <c r="B526" s="6" t="s">
        <v>389</v>
      </c>
      <c r="C526" s="5">
        <v>2018</v>
      </c>
      <c r="D526" s="7">
        <v>348.18817138999998</v>
      </c>
      <c r="E526" s="11">
        <v>71.384</v>
      </c>
      <c r="F526" s="10">
        <f>Table1[[#This Row],[Life expectancy at birth, total (years) '[SP.DYN.LE00.IN']]]/Table1[[#This Row],[Current health expenditure per capita (current US$) '[SH.XPD.CHEX.PC.CD']]]</f>
        <v>0.20501558026807271</v>
      </c>
      <c r="G526" s="4">
        <f>Table1[[#This Row],[Life expectancy at birth, total (years) '[SP.DYN.LE00.IN']]]/Table1[[#This Row],[Current health expenditure per capita (current US$) '[SH.XPD.CHEX.PC.CD']]]*1000</f>
        <v>205.01558026807271</v>
      </c>
    </row>
    <row r="527" spans="1:7" x14ac:dyDescent="0.25">
      <c r="A527" s="5" t="s">
        <v>246</v>
      </c>
      <c r="B527" s="6" t="s">
        <v>389</v>
      </c>
      <c r="C527" s="5">
        <v>2019</v>
      </c>
      <c r="D527" s="7">
        <v>380.53384398999998</v>
      </c>
      <c r="E527" s="11">
        <v>71.724999999999994</v>
      </c>
      <c r="F527" s="10">
        <f>Table1[[#This Row],[Life expectancy at birth, total (years) '[SP.DYN.LE00.IN']]]/Table1[[#This Row],[Current health expenditure per capita (current US$) '[SH.XPD.CHEX.PC.CD']]]</f>
        <v>0.18848520606720293</v>
      </c>
      <c r="G527" s="4">
        <f>Table1[[#This Row],[Life expectancy at birth, total (years) '[SP.DYN.LE00.IN']]]/Table1[[#This Row],[Current health expenditure per capita (current US$) '[SH.XPD.CHEX.PC.CD']]]*1000</f>
        <v>188.48520606720294</v>
      </c>
    </row>
    <row r="528" spans="1:7" x14ac:dyDescent="0.25">
      <c r="A528" s="5" t="s">
        <v>246</v>
      </c>
      <c r="B528" s="6" t="s">
        <v>389</v>
      </c>
      <c r="C528" s="5">
        <v>2020</v>
      </c>
      <c r="D528" s="7">
        <v>357.78799437999999</v>
      </c>
      <c r="E528" s="11">
        <v>70.244</v>
      </c>
      <c r="F528" s="10">
        <f>Table1[[#This Row],[Life expectancy at birth, total (years) '[SP.DYN.LE00.IN']]]/Table1[[#This Row],[Current health expenditure per capita (current US$) '[SH.XPD.CHEX.PC.CD']]]</f>
        <v>0.19632855518733575</v>
      </c>
      <c r="G528" s="4">
        <f>Table1[[#This Row],[Life expectancy at birth, total (years) '[SP.DYN.LE00.IN']]]/Table1[[#This Row],[Current health expenditure per capita (current US$) '[SH.XPD.CHEX.PC.CD']]]*1000</f>
        <v>196.32855518733575</v>
      </c>
    </row>
    <row r="529" spans="1:7" x14ac:dyDescent="0.25">
      <c r="A529" s="5" t="s">
        <v>246</v>
      </c>
      <c r="B529" s="6" t="s">
        <v>389</v>
      </c>
      <c r="C529" s="5">
        <v>2021</v>
      </c>
      <c r="D529" s="7">
        <v>470.14025879000002</v>
      </c>
      <c r="E529" s="11">
        <v>69.941000000000003</v>
      </c>
      <c r="F529" s="10">
        <f>Table1[[#This Row],[Life expectancy at birth, total (years) '[SP.DYN.LE00.IN']]]/Table1[[#This Row],[Current health expenditure per capita (current US$) '[SH.XPD.CHEX.PC.CD']]]</f>
        <v>0.14876624303565739</v>
      </c>
      <c r="G529" s="4">
        <f>Table1[[#This Row],[Life expectancy at birth, total (years) '[SP.DYN.LE00.IN']]]/Table1[[#This Row],[Current health expenditure per capita (current US$) '[SH.XPD.CHEX.PC.CD']]]*1000</f>
        <v>148.7662430356574</v>
      </c>
    </row>
    <row r="530" spans="1:7" x14ac:dyDescent="0.25">
      <c r="A530" s="5" t="s">
        <v>246</v>
      </c>
      <c r="B530" s="6" t="s">
        <v>389</v>
      </c>
      <c r="C530" s="5">
        <v>2022</v>
      </c>
      <c r="D530" s="7">
        <v>500.20321654999998</v>
      </c>
      <c r="E530" s="11">
        <v>71.968999999999994</v>
      </c>
      <c r="F530" s="10">
        <f>Table1[[#This Row],[Life expectancy at birth, total (years) '[SP.DYN.LE00.IN']]]/Table1[[#This Row],[Current health expenditure per capita (current US$) '[SH.XPD.CHEX.PC.CD']]]</f>
        <v>0.14387952259960332</v>
      </c>
      <c r="G530" s="4">
        <f>Table1[[#This Row],[Life expectancy at birth, total (years) '[SP.DYN.LE00.IN']]]/Table1[[#This Row],[Current health expenditure per capita (current US$) '[SH.XPD.CHEX.PC.CD']]]*1000</f>
        <v>143.87952259960332</v>
      </c>
    </row>
    <row r="531" spans="1:7" x14ac:dyDescent="0.25">
      <c r="A531" s="5" t="s">
        <v>246</v>
      </c>
      <c r="B531" s="6" t="s">
        <v>389</v>
      </c>
      <c r="C531" s="5">
        <v>2023</v>
      </c>
      <c r="D531" s="7">
        <v>500.69497681000001</v>
      </c>
      <c r="E531" s="11">
        <v>72.099000000000004</v>
      </c>
      <c r="F531" s="10">
        <f>Table1[[#This Row],[Life expectancy at birth, total (years) '[SP.DYN.LE00.IN']]]/Table1[[#This Row],[Current health expenditure per capita (current US$) '[SH.XPD.CHEX.PC.CD']]]</f>
        <v>0.14399784966758233</v>
      </c>
      <c r="G531" s="4">
        <f>Table1[[#This Row],[Life expectancy at birth, total (years) '[SP.DYN.LE00.IN']]]/Table1[[#This Row],[Current health expenditure per capita (current US$) '[SH.XPD.CHEX.PC.CD']]]*1000</f>
        <v>143.99784966758233</v>
      </c>
    </row>
    <row r="532" spans="1:7" hidden="1" x14ac:dyDescent="0.25">
      <c r="B532" s="1"/>
      <c r="D532" s="3"/>
      <c r="E532"/>
      <c r="F532" t="e">
        <f>Table1[[#This Row],[Life expectancy at birth, total (years) '[SP.DYN.LE00.IN']]]/Table1[[#This Row],[Current health expenditure per capita (current US$) '[SH.XPD.CHEX.PC.CD']]]</f>
        <v>#DIV/0!</v>
      </c>
      <c r="G532" s="2" t="e">
        <f>Table1[[#This Row],[Life expectancy at birth, total (years) '[SP.DYN.LE00.IN']]]/Table1[[#This Row],[Current health expenditure per capita (current US$) '[SH.XPD.CHEX.PC.CD']]]*1000</f>
        <v>#DIV/0!</v>
      </c>
    </row>
    <row r="533" spans="1:7" x14ac:dyDescent="0.25">
      <c r="A533" s="5" t="s">
        <v>54</v>
      </c>
      <c r="B533" s="6" t="s">
        <v>17</v>
      </c>
      <c r="C533" s="5">
        <v>2015</v>
      </c>
      <c r="D533" s="7">
        <v>222.81713866999999</v>
      </c>
      <c r="E533" s="11">
        <v>60.634999999999998</v>
      </c>
      <c r="F533" s="10">
        <f>Table1[[#This Row],[Life expectancy at birth, total (years) '[SP.DYN.LE00.IN']]]/Table1[[#This Row],[Current health expenditure per capita (current US$) '[SH.XPD.CHEX.PC.CD']]]</f>
        <v>0.272128976980548</v>
      </c>
      <c r="G533" s="4">
        <f>Table1[[#This Row],[Life expectancy at birth, total (years) '[SP.DYN.LE00.IN']]]/Table1[[#This Row],[Current health expenditure per capita (current US$) '[SH.XPD.CHEX.PC.CD']]]*1000</f>
        <v>272.12897698054798</v>
      </c>
    </row>
    <row r="534" spans="1:7" x14ac:dyDescent="0.25">
      <c r="A534" s="5" t="s">
        <v>54</v>
      </c>
      <c r="B534" s="6" t="s">
        <v>17</v>
      </c>
      <c r="C534" s="5">
        <v>2016</v>
      </c>
      <c r="D534" s="7">
        <v>221.49227905000001</v>
      </c>
      <c r="E534" s="11">
        <v>61.081000000000003</v>
      </c>
      <c r="F534" s="10">
        <f>Table1[[#This Row],[Life expectancy at birth, total (years) '[SP.DYN.LE00.IN']]]/Table1[[#This Row],[Current health expenditure per capita (current US$) '[SH.XPD.CHEX.PC.CD']]]</f>
        <v>0.27577033502920201</v>
      </c>
      <c r="G534" s="4">
        <f>Table1[[#This Row],[Life expectancy at birth, total (years) '[SP.DYN.LE00.IN']]]/Table1[[#This Row],[Current health expenditure per capita (current US$) '[SH.XPD.CHEX.PC.CD']]]*1000</f>
        <v>275.77033502920199</v>
      </c>
    </row>
    <row r="535" spans="1:7" x14ac:dyDescent="0.25">
      <c r="A535" s="5" t="s">
        <v>54</v>
      </c>
      <c r="B535" s="6" t="s">
        <v>17</v>
      </c>
      <c r="C535" s="5">
        <v>2017</v>
      </c>
      <c r="D535" s="7">
        <v>223.43542479999999</v>
      </c>
      <c r="E535" s="11">
        <v>61.481000000000002</v>
      </c>
      <c r="F535" s="10">
        <f>Table1[[#This Row],[Life expectancy at birth, total (years) '[SP.DYN.LE00.IN']]]/Table1[[#This Row],[Current health expenditure per capita (current US$) '[SH.XPD.CHEX.PC.CD']]]</f>
        <v>0.27516227587918279</v>
      </c>
      <c r="G535" s="4">
        <f>Table1[[#This Row],[Life expectancy at birth, total (years) '[SP.DYN.LE00.IN']]]/Table1[[#This Row],[Current health expenditure per capita (current US$) '[SH.XPD.CHEX.PC.CD']]]*1000</f>
        <v>275.1622758791828</v>
      </c>
    </row>
    <row r="536" spans="1:7" x14ac:dyDescent="0.25">
      <c r="A536" s="5" t="s">
        <v>54</v>
      </c>
      <c r="B536" s="6" t="s">
        <v>17</v>
      </c>
      <c r="C536" s="5">
        <v>2018</v>
      </c>
      <c r="D536" s="7">
        <v>240.49389647999999</v>
      </c>
      <c r="E536" s="11">
        <v>61.914999999999999</v>
      </c>
      <c r="F536" s="10">
        <f>Table1[[#This Row],[Life expectancy at birth, total (years) '[SP.DYN.LE00.IN']]]/Table1[[#This Row],[Current health expenditure per capita (current US$) '[SH.XPD.CHEX.PC.CD']]]</f>
        <v>0.25744936111153655</v>
      </c>
      <c r="G536" s="4">
        <f>Table1[[#This Row],[Life expectancy at birth, total (years) '[SP.DYN.LE00.IN']]]/Table1[[#This Row],[Current health expenditure per capita (current US$) '[SH.XPD.CHEX.PC.CD']]]*1000</f>
        <v>257.44936111153652</v>
      </c>
    </row>
    <row r="537" spans="1:7" x14ac:dyDescent="0.25">
      <c r="A537" s="5" t="s">
        <v>54</v>
      </c>
      <c r="B537" s="6" t="s">
        <v>17</v>
      </c>
      <c r="C537" s="5">
        <v>2019</v>
      </c>
      <c r="D537" s="7">
        <v>223.14128113000001</v>
      </c>
      <c r="E537" s="11">
        <v>62.296999999999997</v>
      </c>
      <c r="F537" s="10">
        <f>Table1[[#This Row],[Life expectancy at birth, total (years) '[SP.DYN.LE00.IN']]]/Table1[[#This Row],[Current health expenditure per capita (current US$) '[SH.XPD.CHEX.PC.CD']]]</f>
        <v>0.27918186937228506</v>
      </c>
      <c r="G537" s="4">
        <f>Table1[[#This Row],[Life expectancy at birth, total (years) '[SP.DYN.LE00.IN']]]/Table1[[#This Row],[Current health expenditure per capita (current US$) '[SH.XPD.CHEX.PC.CD']]]*1000</f>
        <v>279.18186937228506</v>
      </c>
    </row>
    <row r="538" spans="1:7" x14ac:dyDescent="0.25">
      <c r="A538" s="5" t="s">
        <v>54</v>
      </c>
      <c r="B538" s="6" t="s">
        <v>17</v>
      </c>
      <c r="C538" s="5">
        <v>2020</v>
      </c>
      <c r="D538" s="7">
        <v>213.59317017000001</v>
      </c>
      <c r="E538" s="11">
        <v>62.140999999999998</v>
      </c>
      <c r="F538" s="10">
        <f>Table1[[#This Row],[Life expectancy at birth, total (years) '[SP.DYN.LE00.IN']]]/Table1[[#This Row],[Current health expenditure per capita (current US$) '[SH.XPD.CHEX.PC.CD']]]</f>
        <v>0.29093158714083239</v>
      </c>
      <c r="G538" s="4">
        <f>Table1[[#This Row],[Life expectancy at birth, total (years) '[SP.DYN.LE00.IN']]]/Table1[[#This Row],[Current health expenditure per capita (current US$) '[SH.XPD.CHEX.PC.CD']]]*1000</f>
        <v>290.93158714083239</v>
      </c>
    </row>
    <row r="539" spans="1:7" x14ac:dyDescent="0.25">
      <c r="A539" s="5" t="s">
        <v>54</v>
      </c>
      <c r="B539" s="6" t="s">
        <v>17</v>
      </c>
      <c r="C539" s="5">
        <v>2021</v>
      </c>
      <c r="D539" s="7">
        <v>243.81242370999999</v>
      </c>
      <c r="E539" s="11">
        <v>62.447000000000003</v>
      </c>
      <c r="F539" s="10">
        <f>Table1[[#This Row],[Life expectancy at birth, total (years) '[SP.DYN.LE00.IN']]]/Table1[[#This Row],[Current health expenditure per capita (current US$) '[SH.XPD.CHEX.PC.CD']]]</f>
        <v>0.25612722702874607</v>
      </c>
      <c r="G539" s="4">
        <f>Table1[[#This Row],[Life expectancy at birth, total (years) '[SP.DYN.LE00.IN']]]/Table1[[#This Row],[Current health expenditure per capita (current US$) '[SH.XPD.CHEX.PC.CD']]]*1000</f>
        <v>256.12722702874606</v>
      </c>
    </row>
    <row r="540" spans="1:7" x14ac:dyDescent="0.25">
      <c r="A540" s="5" t="s">
        <v>54</v>
      </c>
      <c r="B540" s="6" t="s">
        <v>17</v>
      </c>
      <c r="C540" s="5">
        <v>2022</v>
      </c>
      <c r="D540" s="7">
        <v>215.32841492</v>
      </c>
      <c r="E540" s="11">
        <v>63.354999999999997</v>
      </c>
      <c r="F540" s="10">
        <f>Table1[[#This Row],[Life expectancy at birth, total (years) '[SP.DYN.LE00.IN']]]/Table1[[#This Row],[Current health expenditure per capita (current US$) '[SH.XPD.CHEX.PC.CD']]]</f>
        <v>0.29422498662583846</v>
      </c>
      <c r="G540" s="4">
        <f>Table1[[#This Row],[Life expectancy at birth, total (years) '[SP.DYN.LE00.IN']]]/Table1[[#This Row],[Current health expenditure per capita (current US$) '[SH.XPD.CHEX.PC.CD']]]*1000</f>
        <v>294.22498662583848</v>
      </c>
    </row>
    <row r="541" spans="1:7" x14ac:dyDescent="0.25">
      <c r="A541" s="5" t="s">
        <v>54</v>
      </c>
      <c r="B541" s="6" t="s">
        <v>17</v>
      </c>
      <c r="C541" s="5">
        <v>2023</v>
      </c>
      <c r="D541" s="7">
        <v>233.68379211000001</v>
      </c>
      <c r="E541" s="11">
        <v>63.707000000000001</v>
      </c>
      <c r="F541" s="10">
        <f>Table1[[#This Row],[Life expectancy at birth, total (years) '[SP.DYN.LE00.IN']]]/Table1[[#This Row],[Current health expenditure per capita (current US$) '[SH.XPD.CHEX.PC.CD']]]</f>
        <v>0.27262053317763579</v>
      </c>
      <c r="G541" s="4">
        <f>Table1[[#This Row],[Life expectancy at birth, total (years) '[SP.DYN.LE00.IN']]]/Table1[[#This Row],[Current health expenditure per capita (current US$) '[SH.XPD.CHEX.PC.CD']]]*1000</f>
        <v>272.62053317763582</v>
      </c>
    </row>
    <row r="542" spans="1:7" hidden="1" x14ac:dyDescent="0.25">
      <c r="B542" s="1"/>
      <c r="D542" s="3"/>
      <c r="E542"/>
      <c r="F542" t="e">
        <f>Table1[[#This Row],[Life expectancy at birth, total (years) '[SP.DYN.LE00.IN']]]/Table1[[#This Row],[Current health expenditure per capita (current US$) '[SH.XPD.CHEX.PC.CD']]]</f>
        <v>#DIV/0!</v>
      </c>
      <c r="G542" s="2" t="e">
        <f>Table1[[#This Row],[Life expectancy at birth, total (years) '[SP.DYN.LE00.IN']]]/Table1[[#This Row],[Current health expenditure per capita (current US$) '[SH.XPD.CHEX.PC.CD']]]*1000</f>
        <v>#DIV/0!</v>
      </c>
    </row>
    <row r="543" spans="1:7" x14ac:dyDescent="0.25">
      <c r="A543" s="5" t="s">
        <v>191</v>
      </c>
      <c r="B543" s="6" t="s">
        <v>169</v>
      </c>
      <c r="C543" s="5">
        <v>2015</v>
      </c>
      <c r="D543" s="7">
        <v>29.22208977</v>
      </c>
      <c r="E543" s="11">
        <v>65.909000000000006</v>
      </c>
      <c r="F543" s="10">
        <f>Table1[[#This Row],[Life expectancy at birth, total (years) '[SP.DYN.LE00.IN']]]/Table1[[#This Row],[Current health expenditure per capita (current US$) '[SH.XPD.CHEX.PC.CD']]]</f>
        <v>2.2554512876647017</v>
      </c>
      <c r="G543" s="4">
        <f>Table1[[#This Row],[Life expectancy at birth, total (years) '[SP.DYN.LE00.IN']]]/Table1[[#This Row],[Current health expenditure per capita (current US$) '[SH.XPD.CHEX.PC.CD']]]*1000</f>
        <v>2255.4512876647018</v>
      </c>
    </row>
    <row r="544" spans="1:7" x14ac:dyDescent="0.25">
      <c r="A544" s="5" t="s">
        <v>191</v>
      </c>
      <c r="B544" s="6" t="s">
        <v>169</v>
      </c>
      <c r="C544" s="5">
        <v>2016</v>
      </c>
      <c r="D544" s="7">
        <v>26.005924220000001</v>
      </c>
      <c r="E544" s="11">
        <v>66.242000000000004</v>
      </c>
      <c r="F544" s="10">
        <f>Table1[[#This Row],[Life expectancy at birth, total (years) '[SP.DYN.LE00.IN']]]/Table1[[#This Row],[Current health expenditure per capita (current US$) '[SH.XPD.CHEX.PC.CD']]]</f>
        <v>2.5471888420353168</v>
      </c>
      <c r="G544" s="4">
        <f>Table1[[#This Row],[Life expectancy at birth, total (years) '[SP.DYN.LE00.IN']]]/Table1[[#This Row],[Current health expenditure per capita (current US$) '[SH.XPD.CHEX.PC.CD']]]*1000</f>
        <v>2547.1888420353166</v>
      </c>
    </row>
    <row r="545" spans="1:7" x14ac:dyDescent="0.25">
      <c r="A545" s="5" t="s">
        <v>191</v>
      </c>
      <c r="B545" s="6" t="s">
        <v>169</v>
      </c>
      <c r="C545" s="5">
        <v>2017</v>
      </c>
      <c r="D545" s="7">
        <v>25.102706909999998</v>
      </c>
      <c r="E545" s="11">
        <v>66.611999999999995</v>
      </c>
      <c r="F545" s="10">
        <f>Table1[[#This Row],[Life expectancy at birth, total (years) '[SP.DYN.LE00.IN']]]/Table1[[#This Row],[Current health expenditure per capita (current US$) '[SH.XPD.CHEX.PC.CD']]]</f>
        <v>2.6535783666208608</v>
      </c>
      <c r="G545" s="4">
        <f>Table1[[#This Row],[Life expectancy at birth, total (years) '[SP.DYN.LE00.IN']]]/Table1[[#This Row],[Current health expenditure per capita (current US$) '[SH.XPD.CHEX.PC.CD']]]*1000</f>
        <v>2653.5783666208608</v>
      </c>
    </row>
    <row r="546" spans="1:7" x14ac:dyDescent="0.25">
      <c r="A546" s="5" t="s">
        <v>191</v>
      </c>
      <c r="B546" s="6" t="s">
        <v>169</v>
      </c>
      <c r="C546" s="5">
        <v>2018</v>
      </c>
      <c r="D546" s="7">
        <v>26.68201256</v>
      </c>
      <c r="E546" s="11">
        <v>66.978999999999999</v>
      </c>
      <c r="F546" s="10">
        <f>Table1[[#This Row],[Life expectancy at birth, total (years) '[SP.DYN.LE00.IN']]]/Table1[[#This Row],[Current health expenditure per capita (current US$) '[SH.XPD.CHEX.PC.CD']]]</f>
        <v>2.5102679136134847</v>
      </c>
      <c r="G546" s="4">
        <f>Table1[[#This Row],[Life expectancy at birth, total (years) '[SP.DYN.LE00.IN']]]/Table1[[#This Row],[Current health expenditure per capita (current US$) '[SH.XPD.CHEX.PC.CD']]]*1000</f>
        <v>2510.2679136134848</v>
      </c>
    </row>
    <row r="547" spans="1:7" x14ac:dyDescent="0.25">
      <c r="A547" s="5" t="s">
        <v>191</v>
      </c>
      <c r="B547" s="6" t="s">
        <v>169</v>
      </c>
      <c r="C547" s="5">
        <v>2019</v>
      </c>
      <c r="D547" s="7">
        <v>28.429307940000001</v>
      </c>
      <c r="E547" s="11">
        <v>67.305999999999997</v>
      </c>
      <c r="F547" s="10">
        <f>Table1[[#This Row],[Life expectancy at birth, total (years) '[SP.DYN.LE00.IN']]]/Table1[[#This Row],[Current health expenditure per capita (current US$) '[SH.XPD.CHEX.PC.CD']]]</f>
        <v>2.3674864031881881</v>
      </c>
      <c r="G547" s="4">
        <f>Table1[[#This Row],[Life expectancy at birth, total (years) '[SP.DYN.LE00.IN']]]/Table1[[#This Row],[Current health expenditure per capita (current US$) '[SH.XPD.CHEX.PC.CD']]]*1000</f>
        <v>2367.486403188188</v>
      </c>
    </row>
    <row r="548" spans="1:7" x14ac:dyDescent="0.25">
      <c r="A548" s="5" t="s">
        <v>191</v>
      </c>
      <c r="B548" s="6" t="s">
        <v>169</v>
      </c>
      <c r="C548" s="5">
        <v>2020</v>
      </c>
      <c r="D548" s="7">
        <v>27.666978839999999</v>
      </c>
      <c r="E548" s="11">
        <v>66.98</v>
      </c>
      <c r="F548" s="10">
        <f>Table1[[#This Row],[Life expectancy at birth, total (years) '[SP.DYN.LE00.IN']]]/Table1[[#This Row],[Current health expenditure per capita (current US$) '[SH.XPD.CHEX.PC.CD']]]</f>
        <v>2.4209365390905111</v>
      </c>
      <c r="G548" s="4">
        <f>Table1[[#This Row],[Life expectancy at birth, total (years) '[SP.DYN.LE00.IN']]]/Table1[[#This Row],[Current health expenditure per capita (current US$) '[SH.XPD.CHEX.PC.CD']]]*1000</f>
        <v>2420.9365390905109</v>
      </c>
    </row>
    <row r="549" spans="1:7" x14ac:dyDescent="0.25">
      <c r="A549" s="5" t="s">
        <v>191</v>
      </c>
      <c r="B549" s="6" t="s">
        <v>169</v>
      </c>
      <c r="C549" s="5">
        <v>2021</v>
      </c>
      <c r="D549" s="7">
        <v>27.587594989999999</v>
      </c>
      <c r="E549" s="11">
        <v>66.94</v>
      </c>
      <c r="F549" s="10">
        <f>Table1[[#This Row],[Life expectancy at birth, total (years) '[SP.DYN.LE00.IN']]]/Table1[[#This Row],[Current health expenditure per capita (current US$) '[SH.XPD.CHEX.PC.CD']]]</f>
        <v>2.4264529048024857</v>
      </c>
      <c r="G549" s="4">
        <f>Table1[[#This Row],[Life expectancy at birth, total (years) '[SP.DYN.LE00.IN']]]/Table1[[#This Row],[Current health expenditure per capita (current US$) '[SH.XPD.CHEX.PC.CD']]]*1000</f>
        <v>2426.4529048024856</v>
      </c>
    </row>
    <row r="550" spans="1:7" x14ac:dyDescent="0.25">
      <c r="A550" s="5" t="s">
        <v>191</v>
      </c>
      <c r="B550" s="6" t="s">
        <v>169</v>
      </c>
      <c r="C550" s="5">
        <v>2022</v>
      </c>
      <c r="D550" s="7">
        <v>27.089805599999998</v>
      </c>
      <c r="E550" s="11">
        <v>67.789000000000001</v>
      </c>
      <c r="F550" s="10">
        <f>Table1[[#This Row],[Life expectancy at birth, total (years) '[SP.DYN.LE00.IN']]]/Table1[[#This Row],[Current health expenditure per capita (current US$) '[SH.XPD.CHEX.PC.CD']]]</f>
        <v>2.5023804526674049</v>
      </c>
      <c r="G550" s="4">
        <f>Table1[[#This Row],[Life expectancy at birth, total (years) '[SP.DYN.LE00.IN']]]/Table1[[#This Row],[Current health expenditure per capita (current US$) '[SH.XPD.CHEX.PC.CD']]]*1000</f>
        <v>2502.3804526674048</v>
      </c>
    </row>
    <row r="551" spans="1:7" x14ac:dyDescent="0.25">
      <c r="A551" s="5" t="s">
        <v>191</v>
      </c>
      <c r="B551" s="6" t="s">
        <v>169</v>
      </c>
      <c r="C551" s="5">
        <v>2023</v>
      </c>
      <c r="D551" s="7">
        <v>28.29782677</v>
      </c>
      <c r="E551" s="11">
        <v>68.623999999999995</v>
      </c>
      <c r="F551" s="10">
        <f>Table1[[#This Row],[Life expectancy at birth, total (years) '[SP.DYN.LE00.IN']]]/Table1[[#This Row],[Current health expenditure per capita (current US$) '[SH.XPD.CHEX.PC.CD']]]</f>
        <v>2.4250625518971609</v>
      </c>
      <c r="G551" s="4">
        <f>Table1[[#This Row],[Life expectancy at birth, total (years) '[SP.DYN.LE00.IN']]]/Table1[[#This Row],[Current health expenditure per capita (current US$) '[SH.XPD.CHEX.PC.CD']]]*1000</f>
        <v>2425.062551897161</v>
      </c>
    </row>
    <row r="552" spans="1:7" hidden="1" x14ac:dyDescent="0.25">
      <c r="B552" s="1"/>
      <c r="D552" s="3"/>
      <c r="E552"/>
      <c r="F552" t="e">
        <f>Table1[[#This Row],[Life expectancy at birth, total (years) '[SP.DYN.LE00.IN']]]/Table1[[#This Row],[Current health expenditure per capita (current US$) '[SH.XPD.CHEX.PC.CD']]]</f>
        <v>#DIV/0!</v>
      </c>
      <c r="G552" s="2" t="e">
        <f>Table1[[#This Row],[Life expectancy at birth, total (years) '[SP.DYN.LE00.IN']]]/Table1[[#This Row],[Current health expenditure per capita (current US$) '[SH.XPD.CHEX.PC.CD']]]*1000</f>
        <v>#DIV/0!</v>
      </c>
    </row>
    <row r="553" spans="1:7" x14ac:dyDescent="0.25">
      <c r="A553" s="5" t="s">
        <v>124</v>
      </c>
      <c r="B553" s="6" t="s">
        <v>38</v>
      </c>
      <c r="C553" s="5">
        <v>2015</v>
      </c>
      <c r="D553" s="7">
        <v>1156.20275879</v>
      </c>
      <c r="E553" s="11">
        <v>77.590243902439028</v>
      </c>
      <c r="F553" s="10">
        <f>Table1[[#This Row],[Life expectancy at birth, total (years) '[SP.DYN.LE00.IN']]]/Table1[[#This Row],[Current health expenditure per capita (current US$) '[SH.XPD.CHEX.PC.CD']]]</f>
        <v>6.7107817649249932E-2</v>
      </c>
      <c r="G553" s="4">
        <f>Table1[[#This Row],[Life expectancy at birth, total (years) '[SP.DYN.LE00.IN']]]/Table1[[#This Row],[Current health expenditure per capita (current US$) '[SH.XPD.CHEX.PC.CD']]]*1000</f>
        <v>67.107817649249938</v>
      </c>
    </row>
    <row r="554" spans="1:7" x14ac:dyDescent="0.25">
      <c r="A554" s="5" t="s">
        <v>124</v>
      </c>
      <c r="B554" s="6" t="s">
        <v>38</v>
      </c>
      <c r="C554" s="5">
        <v>2016</v>
      </c>
      <c r="D554" s="7">
        <v>1226.0859375</v>
      </c>
      <c r="E554" s="11">
        <v>77.64146341463416</v>
      </c>
      <c r="F554" s="10">
        <f>Table1[[#This Row],[Life expectancy at birth, total (years) '[SP.DYN.LE00.IN']]]/Table1[[#This Row],[Current health expenditure per capita (current US$) '[SH.XPD.CHEX.PC.CD']]]</f>
        <v>6.3324650450641159E-2</v>
      </c>
      <c r="G554" s="4">
        <f>Table1[[#This Row],[Life expectancy at birth, total (years) '[SP.DYN.LE00.IN']]]/Table1[[#This Row],[Current health expenditure per capita (current US$) '[SH.XPD.CHEX.PC.CD']]]*1000</f>
        <v>63.324650450641158</v>
      </c>
    </row>
    <row r="555" spans="1:7" x14ac:dyDescent="0.25">
      <c r="A555" s="5" t="s">
        <v>124</v>
      </c>
      <c r="B555" s="6" t="s">
        <v>38</v>
      </c>
      <c r="C555" s="5">
        <v>2017</v>
      </c>
      <c r="D555" s="7">
        <v>1350.1264648399999</v>
      </c>
      <c r="E555" s="11">
        <v>78.092682926829269</v>
      </c>
      <c r="F555" s="10">
        <f>Table1[[#This Row],[Life expectancy at birth, total (years) '[SP.DYN.LE00.IN']]]/Table1[[#This Row],[Current health expenditure per capita (current US$) '[SH.XPD.CHEX.PC.CD']]]</f>
        <v>5.7841013386908044E-2</v>
      </c>
      <c r="G555" s="4">
        <f>Table1[[#This Row],[Life expectancy at birth, total (years) '[SP.DYN.LE00.IN']]]/Table1[[#This Row],[Current health expenditure per capita (current US$) '[SH.XPD.CHEX.PC.CD']]]*1000</f>
        <v>57.841013386908045</v>
      </c>
    </row>
    <row r="556" spans="1:7" x14ac:dyDescent="0.25">
      <c r="A556" s="5" t="s">
        <v>124</v>
      </c>
      <c r="B556" s="6" t="s">
        <v>38</v>
      </c>
      <c r="C556" s="5">
        <v>2018</v>
      </c>
      <c r="D556" s="7">
        <v>1553.4334716799999</v>
      </c>
      <c r="E556" s="11">
        <v>78.243902439024396</v>
      </c>
      <c r="F556" s="10">
        <f>Table1[[#This Row],[Life expectancy at birth, total (years) '[SP.DYN.LE00.IN']]]/Table1[[#This Row],[Current health expenditure per capita (current US$) '[SH.XPD.CHEX.PC.CD']]]</f>
        <v>5.0368363927684366E-2</v>
      </c>
      <c r="G556" s="4">
        <f>Table1[[#This Row],[Life expectancy at birth, total (years) '[SP.DYN.LE00.IN']]]/Table1[[#This Row],[Current health expenditure per capita (current US$) '[SH.XPD.CHEX.PC.CD']]]*1000</f>
        <v>50.368363927684364</v>
      </c>
    </row>
    <row r="557" spans="1:7" x14ac:dyDescent="0.25">
      <c r="A557" s="5" t="s">
        <v>124</v>
      </c>
      <c r="B557" s="6" t="s">
        <v>38</v>
      </c>
      <c r="C557" s="5">
        <v>2019</v>
      </c>
      <c r="D557" s="7">
        <v>1599.3503418</v>
      </c>
      <c r="E557" s="11">
        <v>78.646341463414657</v>
      </c>
      <c r="F557" s="10">
        <f>Table1[[#This Row],[Life expectancy at birth, total (years) '[SP.DYN.LE00.IN']]]/Table1[[#This Row],[Current health expenditure per capita (current US$) '[SH.XPD.CHEX.PC.CD']]]</f>
        <v>4.9173929818842305E-2</v>
      </c>
      <c r="G557" s="4">
        <f>Table1[[#This Row],[Life expectancy at birth, total (years) '[SP.DYN.LE00.IN']]]/Table1[[#This Row],[Current health expenditure per capita (current US$) '[SH.XPD.CHEX.PC.CD']]]*1000</f>
        <v>49.173929818842304</v>
      </c>
    </row>
    <row r="558" spans="1:7" x14ac:dyDescent="0.25">
      <c r="A558" s="5" t="s">
        <v>124</v>
      </c>
      <c r="B558" s="6" t="s">
        <v>38</v>
      </c>
      <c r="C558" s="5">
        <v>2020</v>
      </c>
      <c r="D558" s="7">
        <v>1789.03417969</v>
      </c>
      <c r="E558" s="11">
        <v>78.595121951219525</v>
      </c>
      <c r="F558" s="10">
        <f>Table1[[#This Row],[Life expectancy at birth, total (years) '[SP.DYN.LE00.IN']]]/Table1[[#This Row],[Current health expenditure per capita (current US$) '[SH.XPD.CHEX.PC.CD']]]</f>
        <v>4.3931593282828349E-2</v>
      </c>
      <c r="G558" s="4">
        <f>Table1[[#This Row],[Life expectancy at birth, total (years) '[SP.DYN.LE00.IN']]]/Table1[[#This Row],[Current health expenditure per capita (current US$) '[SH.XPD.CHEX.PC.CD']]]*1000</f>
        <v>43.931593282828352</v>
      </c>
    </row>
    <row r="559" spans="1:7" x14ac:dyDescent="0.25">
      <c r="A559" s="5" t="s">
        <v>124</v>
      </c>
      <c r="B559" s="6" t="s">
        <v>38</v>
      </c>
      <c r="C559" s="5">
        <v>2021</v>
      </c>
      <c r="D559" s="7">
        <v>2091.1564941400002</v>
      </c>
      <c r="E559" s="11">
        <v>76.943902439024399</v>
      </c>
      <c r="F559" s="10">
        <f>Table1[[#This Row],[Life expectancy at birth, total (years) '[SP.DYN.LE00.IN']]]/Table1[[#This Row],[Current health expenditure per capita (current US$) '[SH.XPD.CHEX.PC.CD']]]</f>
        <v>3.6794903994341183E-2</v>
      </c>
      <c r="G559" s="4">
        <f>Table1[[#This Row],[Life expectancy at birth, total (years) '[SP.DYN.LE00.IN']]]/Table1[[#This Row],[Current health expenditure per capita (current US$) '[SH.XPD.CHEX.PC.CD']]]*1000</f>
        <v>36.794903994341183</v>
      </c>
    </row>
    <row r="560" spans="1:7" x14ac:dyDescent="0.25">
      <c r="A560" s="5" t="s">
        <v>124</v>
      </c>
      <c r="B560" s="6" t="s">
        <v>38</v>
      </c>
      <c r="C560" s="5">
        <v>2022</v>
      </c>
      <c r="D560" s="7">
        <v>1998.7452392600001</v>
      </c>
      <c r="E560" s="11">
        <v>77.84390243902439</v>
      </c>
      <c r="F560" s="10">
        <f>Table1[[#This Row],[Life expectancy at birth, total (years) '[SP.DYN.LE00.IN']]]/Table1[[#This Row],[Current health expenditure per capita (current US$) '[SH.XPD.CHEX.PC.CD']]]</f>
        <v>3.8946385417205402E-2</v>
      </c>
      <c r="G560" s="4">
        <f>Table1[[#This Row],[Life expectancy at birth, total (years) '[SP.DYN.LE00.IN']]]/Table1[[#This Row],[Current health expenditure per capita (current US$) '[SH.XPD.CHEX.PC.CD']]]*1000</f>
        <v>38.946385417205406</v>
      </c>
    </row>
    <row r="561" spans="1:7" x14ac:dyDescent="0.25">
      <c r="A561" s="5" t="s">
        <v>124</v>
      </c>
      <c r="B561" s="6" t="s">
        <v>38</v>
      </c>
      <c r="C561" s="5">
        <v>2023</v>
      </c>
      <c r="D561" s="7">
        <v>2258.4597168</v>
      </c>
      <c r="E561" s="11">
        <v>78.490243902439019</v>
      </c>
      <c r="F561" s="10">
        <f>Table1[[#This Row],[Life expectancy at birth, total (years) '[SP.DYN.LE00.IN']]]/Table1[[#This Row],[Current health expenditure per capita (current US$) '[SH.XPD.CHEX.PC.CD']]]</f>
        <v>3.4753882621227992E-2</v>
      </c>
      <c r="G561" s="4">
        <f>Table1[[#This Row],[Life expectancy at birth, total (years) '[SP.DYN.LE00.IN']]]/Table1[[#This Row],[Current health expenditure per capita (current US$) '[SH.XPD.CHEX.PC.CD']]]*1000</f>
        <v>34.753882621227994</v>
      </c>
    </row>
    <row r="562" spans="1:7" hidden="1" x14ac:dyDescent="0.25">
      <c r="B562" s="1"/>
      <c r="D562" s="3"/>
      <c r="E562"/>
      <c r="F562" t="e">
        <f>Table1[[#This Row],[Life expectancy at birth, total (years) '[SP.DYN.LE00.IN']]]/Table1[[#This Row],[Current health expenditure per capita (current US$) '[SH.XPD.CHEX.PC.CD']]]</f>
        <v>#DIV/0!</v>
      </c>
      <c r="G562" s="2" t="e">
        <f>Table1[[#This Row],[Life expectancy at birth, total (years) '[SP.DYN.LE00.IN']]]/Table1[[#This Row],[Current health expenditure per capita (current US$) '[SH.XPD.CHEX.PC.CD']]]*1000</f>
        <v>#DIV/0!</v>
      </c>
    </row>
    <row r="563" spans="1:7" x14ac:dyDescent="0.25">
      <c r="A563" s="5" t="s">
        <v>253</v>
      </c>
      <c r="B563" s="6" t="s">
        <v>207</v>
      </c>
      <c r="C563" s="5">
        <v>2015</v>
      </c>
      <c r="D563" s="7">
        <v>250.71520996000001</v>
      </c>
      <c r="E563" s="11">
        <v>54.941000000000003</v>
      </c>
      <c r="F563" s="10">
        <f>Table1[[#This Row],[Life expectancy at birth, total (years) '[SP.DYN.LE00.IN']]]/Table1[[#This Row],[Current health expenditure per capita (current US$) '[SH.XPD.CHEX.PC.CD']]]</f>
        <v>0.21913708389995759</v>
      </c>
      <c r="G563" s="4">
        <f>Table1[[#This Row],[Life expectancy at birth, total (years) '[SP.DYN.LE00.IN']]]/Table1[[#This Row],[Current health expenditure per capita (current US$) '[SH.XPD.CHEX.PC.CD']]]*1000</f>
        <v>219.13708389995759</v>
      </c>
    </row>
    <row r="564" spans="1:7" x14ac:dyDescent="0.25">
      <c r="A564" s="5" t="s">
        <v>253</v>
      </c>
      <c r="B564" s="6" t="s">
        <v>207</v>
      </c>
      <c r="C564" s="5">
        <v>2016</v>
      </c>
      <c r="D564" s="7">
        <v>226.41770935</v>
      </c>
      <c r="E564" s="11">
        <v>56.228000000000002</v>
      </c>
      <c r="F564" s="10">
        <f>Table1[[#This Row],[Life expectancy at birth, total (years) '[SP.DYN.LE00.IN']]]/Table1[[#This Row],[Current health expenditure per capita (current US$) '[SH.XPD.CHEX.PC.CD']]]</f>
        <v>0.24833746512770294</v>
      </c>
      <c r="G564" s="4">
        <f>Table1[[#This Row],[Life expectancy at birth, total (years) '[SP.DYN.LE00.IN']]]/Table1[[#This Row],[Current health expenditure per capita (current US$) '[SH.XPD.CHEX.PC.CD']]]*1000</f>
        <v>248.33746512770293</v>
      </c>
    </row>
    <row r="565" spans="1:7" x14ac:dyDescent="0.25">
      <c r="A565" s="5" t="s">
        <v>253</v>
      </c>
      <c r="B565" s="6" t="s">
        <v>207</v>
      </c>
      <c r="C565" s="5">
        <v>2017</v>
      </c>
      <c r="D565" s="7">
        <v>265.50152587999997</v>
      </c>
      <c r="E565" s="11">
        <v>57.573999999999998</v>
      </c>
      <c r="F565" s="10">
        <f>Table1[[#This Row],[Life expectancy at birth, total (years) '[SP.DYN.LE00.IN']]]/Table1[[#This Row],[Current health expenditure per capita (current US$) '[SH.XPD.CHEX.PC.CD']]]</f>
        <v>0.21684997782657567</v>
      </c>
      <c r="G565" s="4">
        <f>Table1[[#This Row],[Life expectancy at birth, total (years) '[SP.DYN.LE00.IN']]]/Table1[[#This Row],[Current health expenditure per capita (current US$) '[SH.XPD.CHEX.PC.CD']]]*1000</f>
        <v>216.84997782657567</v>
      </c>
    </row>
    <row r="566" spans="1:7" x14ac:dyDescent="0.25">
      <c r="A566" s="5" t="s">
        <v>253</v>
      </c>
      <c r="B566" s="6" t="s">
        <v>207</v>
      </c>
      <c r="C566" s="5">
        <v>2018</v>
      </c>
      <c r="D566" s="7">
        <v>292.33929443</v>
      </c>
      <c r="E566" s="11">
        <v>58.707000000000001</v>
      </c>
      <c r="F566" s="10">
        <f>Table1[[#This Row],[Life expectancy at birth, total (years) '[SP.DYN.LE00.IN']]]/Table1[[#This Row],[Current health expenditure per capita (current US$) '[SH.XPD.CHEX.PC.CD']]]</f>
        <v>0.2008180258985241</v>
      </c>
      <c r="G566" s="4">
        <f>Table1[[#This Row],[Life expectancy at birth, total (years) '[SP.DYN.LE00.IN']]]/Table1[[#This Row],[Current health expenditure per capita (current US$) '[SH.XPD.CHEX.PC.CD']]]*1000</f>
        <v>200.8180258985241</v>
      </c>
    </row>
    <row r="567" spans="1:7" x14ac:dyDescent="0.25">
      <c r="A567" s="5" t="s">
        <v>253</v>
      </c>
      <c r="B567" s="6" t="s">
        <v>207</v>
      </c>
      <c r="C567" s="5">
        <v>2019</v>
      </c>
      <c r="D567" s="7">
        <v>320.05084228999999</v>
      </c>
      <c r="E567" s="11">
        <v>59.85</v>
      </c>
      <c r="F567" s="10">
        <f>Table1[[#This Row],[Life expectancy at birth, total (years) '[SP.DYN.LE00.IN']]]/Table1[[#This Row],[Current health expenditure per capita (current US$) '[SH.XPD.CHEX.PC.CD']]]</f>
        <v>0.18700153879229461</v>
      </c>
      <c r="G567" s="4">
        <f>Table1[[#This Row],[Life expectancy at birth, total (years) '[SP.DYN.LE00.IN']]]/Table1[[#This Row],[Current health expenditure per capita (current US$) '[SH.XPD.CHEX.PC.CD']]]*1000</f>
        <v>187.00153879229461</v>
      </c>
    </row>
    <row r="568" spans="1:7" x14ac:dyDescent="0.25">
      <c r="A568" s="5" t="s">
        <v>253</v>
      </c>
      <c r="B568" s="6" t="s">
        <v>207</v>
      </c>
      <c r="C568" s="5">
        <v>2020</v>
      </c>
      <c r="D568" s="7">
        <v>236.99609375</v>
      </c>
      <c r="E568" s="11">
        <v>59.862000000000002</v>
      </c>
      <c r="F568" s="10">
        <f>Table1[[#This Row],[Life expectancy at birth, total (years) '[SP.DYN.LE00.IN']]]/Table1[[#This Row],[Current health expenditure per capita (current US$) '[SH.XPD.CHEX.PC.CD']]]</f>
        <v>0.25258644162779581</v>
      </c>
      <c r="G568" s="4">
        <f>Table1[[#This Row],[Life expectancy at birth, total (years) '[SP.DYN.LE00.IN']]]/Table1[[#This Row],[Current health expenditure per capita (current US$) '[SH.XPD.CHEX.PC.CD']]]*1000</f>
        <v>252.58644162779581</v>
      </c>
    </row>
    <row r="569" spans="1:7" x14ac:dyDescent="0.25">
      <c r="A569" s="5" t="s">
        <v>253</v>
      </c>
      <c r="B569" s="6" t="s">
        <v>207</v>
      </c>
      <c r="C569" s="5">
        <v>2021</v>
      </c>
      <c r="D569" s="7">
        <v>297.72213744999999</v>
      </c>
      <c r="E569" s="11">
        <v>58.228000000000002</v>
      </c>
      <c r="F569" s="10">
        <f>Table1[[#This Row],[Life expectancy at birth, total (years) '[SP.DYN.LE00.IN']]]/Table1[[#This Row],[Current health expenditure per capita (current US$) '[SH.XPD.CHEX.PC.CD']]]</f>
        <v>0.19557833521794771</v>
      </c>
      <c r="G569" s="4">
        <f>Table1[[#This Row],[Life expectancy at birth, total (years) '[SP.DYN.LE00.IN']]]/Table1[[#This Row],[Current health expenditure per capita (current US$) '[SH.XPD.CHEX.PC.CD']]]*1000</f>
        <v>195.57833521794771</v>
      </c>
    </row>
    <row r="570" spans="1:7" x14ac:dyDescent="0.25">
      <c r="A570" s="5" t="s">
        <v>253</v>
      </c>
      <c r="B570" s="6" t="s">
        <v>207</v>
      </c>
      <c r="C570" s="5">
        <v>2022</v>
      </c>
      <c r="D570" s="7">
        <v>284.75802612000001</v>
      </c>
      <c r="E570" s="11">
        <v>63.027999999999999</v>
      </c>
      <c r="F570" s="10">
        <f>Table1[[#This Row],[Life expectancy at birth, total (years) '[SP.DYN.LE00.IN']]]/Table1[[#This Row],[Current health expenditure per capita (current US$) '[SH.XPD.CHEX.PC.CD']]]</f>
        <v>0.22133880073125434</v>
      </c>
      <c r="G570" s="4">
        <f>Table1[[#This Row],[Life expectancy at birth, total (years) '[SP.DYN.LE00.IN']]]/Table1[[#This Row],[Current health expenditure per capita (current US$) '[SH.XPD.CHEX.PC.CD']]]*1000</f>
        <v>221.33880073125434</v>
      </c>
    </row>
    <row r="571" spans="1:7" x14ac:dyDescent="0.25">
      <c r="A571" s="5" t="s">
        <v>253</v>
      </c>
      <c r="B571" s="6" t="s">
        <v>207</v>
      </c>
      <c r="C571" s="5">
        <v>2023</v>
      </c>
      <c r="D571" s="7">
        <v>296.04562378000003</v>
      </c>
      <c r="E571" s="11">
        <v>64.123000000000005</v>
      </c>
      <c r="F571" s="10">
        <f>Table1[[#This Row],[Life expectancy at birth, total (years) '[SP.DYN.LE00.IN']]]/Table1[[#This Row],[Current health expenditure per capita (current US$) '[SH.XPD.CHEX.PC.CD']]]</f>
        <v>0.21659837149848105</v>
      </c>
      <c r="G571" s="4">
        <f>Table1[[#This Row],[Life expectancy at birth, total (years) '[SP.DYN.LE00.IN']]]/Table1[[#This Row],[Current health expenditure per capita (current US$) '[SH.XPD.CHEX.PC.CD']]]*1000</f>
        <v>216.59837149848104</v>
      </c>
    </row>
    <row r="572" spans="1:7" hidden="1" x14ac:dyDescent="0.25">
      <c r="B572" s="1"/>
      <c r="D572" s="3"/>
      <c r="E572"/>
      <c r="F572" t="e">
        <f>Table1[[#This Row],[Life expectancy at birth, total (years) '[SP.DYN.LE00.IN']]]/Table1[[#This Row],[Current health expenditure per capita (current US$) '[SH.XPD.CHEX.PC.CD']]]</f>
        <v>#DIV/0!</v>
      </c>
      <c r="G572" s="2" t="e">
        <f>Table1[[#This Row],[Life expectancy at birth, total (years) '[SP.DYN.LE00.IN']]]/Table1[[#This Row],[Current health expenditure per capita (current US$) '[SH.XPD.CHEX.PC.CD']]]*1000</f>
        <v>#DIV/0!</v>
      </c>
    </row>
    <row r="573" spans="1:7" x14ac:dyDescent="0.25">
      <c r="A573" s="5" t="s">
        <v>34</v>
      </c>
      <c r="B573" s="6" t="s">
        <v>300</v>
      </c>
      <c r="C573" s="5">
        <v>2015</v>
      </c>
      <c r="D573" s="7">
        <v>23.218172070000001</v>
      </c>
      <c r="E573" s="11">
        <v>63.591999999999999</v>
      </c>
      <c r="F573" s="10">
        <f>Table1[[#This Row],[Life expectancy at birth, total (years) '[SP.DYN.LE00.IN']]]/Table1[[#This Row],[Current health expenditure per capita (current US$) '[SH.XPD.CHEX.PC.CD']]]</f>
        <v>2.7388891687199903</v>
      </c>
      <c r="G573" s="4">
        <f>Table1[[#This Row],[Life expectancy at birth, total (years) '[SP.DYN.LE00.IN']]]/Table1[[#This Row],[Current health expenditure per capita (current US$) '[SH.XPD.CHEX.PC.CD']]]*1000</f>
        <v>2738.8891687199903</v>
      </c>
    </row>
    <row r="574" spans="1:7" x14ac:dyDescent="0.25">
      <c r="A574" s="5" t="s">
        <v>34</v>
      </c>
      <c r="B574" s="6" t="s">
        <v>300</v>
      </c>
      <c r="C574" s="5">
        <v>2016</v>
      </c>
      <c r="D574" s="7">
        <v>24.34373283</v>
      </c>
      <c r="E574" s="11">
        <v>64.162000000000006</v>
      </c>
      <c r="F574" s="10">
        <f>Table1[[#This Row],[Life expectancy at birth, total (years) '[SP.DYN.LE00.IN']]]/Table1[[#This Row],[Current health expenditure per capita (current US$) '[SH.XPD.CHEX.PC.CD']]]</f>
        <v>2.6356680977425926</v>
      </c>
      <c r="G574" s="4">
        <f>Table1[[#This Row],[Life expectancy at birth, total (years) '[SP.DYN.LE00.IN']]]/Table1[[#This Row],[Current health expenditure per capita (current US$) '[SH.XPD.CHEX.PC.CD']]]*1000</f>
        <v>2635.6680977425926</v>
      </c>
    </row>
    <row r="575" spans="1:7" x14ac:dyDescent="0.25">
      <c r="A575" s="5" t="s">
        <v>34</v>
      </c>
      <c r="B575" s="6" t="s">
        <v>300</v>
      </c>
      <c r="C575" s="5">
        <v>2017</v>
      </c>
      <c r="D575" s="7">
        <v>24.182394030000001</v>
      </c>
      <c r="E575" s="11">
        <v>64.766000000000005</v>
      </c>
      <c r="F575" s="10">
        <f>Table1[[#This Row],[Life expectancy at birth, total (years) '[SP.DYN.LE00.IN']]]/Table1[[#This Row],[Current health expenditure per capita (current US$) '[SH.XPD.CHEX.PC.CD']]]</f>
        <v>2.6782294556797446</v>
      </c>
      <c r="G575" s="4">
        <f>Table1[[#This Row],[Life expectancy at birth, total (years) '[SP.DYN.LE00.IN']]]/Table1[[#This Row],[Current health expenditure per capita (current US$) '[SH.XPD.CHEX.PC.CD']]]*1000</f>
        <v>2678.2294556797447</v>
      </c>
    </row>
    <row r="576" spans="1:7" x14ac:dyDescent="0.25">
      <c r="A576" s="5" t="s">
        <v>34</v>
      </c>
      <c r="B576" s="6" t="s">
        <v>300</v>
      </c>
      <c r="C576" s="5">
        <v>2018</v>
      </c>
      <c r="D576" s="7">
        <v>23.520557400000001</v>
      </c>
      <c r="E576" s="11">
        <v>65.257000000000005</v>
      </c>
      <c r="F576" s="10">
        <f>Table1[[#This Row],[Life expectancy at birth, total (years) '[SP.DYN.LE00.IN']]]/Table1[[#This Row],[Current health expenditure per capita (current US$) '[SH.XPD.CHEX.PC.CD']]]</f>
        <v>2.7744665608987651</v>
      </c>
      <c r="G576" s="4">
        <f>Table1[[#This Row],[Life expectancy at birth, total (years) '[SP.DYN.LE00.IN']]]/Table1[[#This Row],[Current health expenditure per capita (current US$) '[SH.XPD.CHEX.PC.CD']]]*1000</f>
        <v>2774.4665608987652</v>
      </c>
    </row>
    <row r="577" spans="1:7" x14ac:dyDescent="0.25">
      <c r="A577" s="5" t="s">
        <v>34</v>
      </c>
      <c r="B577" s="6" t="s">
        <v>300</v>
      </c>
      <c r="C577" s="5">
        <v>2019</v>
      </c>
      <c r="D577" s="7">
        <v>25.935119629999999</v>
      </c>
      <c r="E577" s="11">
        <v>65.741</v>
      </c>
      <c r="F577" s="10">
        <f>Table1[[#This Row],[Life expectancy at birth, total (years) '[SP.DYN.LE00.IN']]]/Table1[[#This Row],[Current health expenditure per capita (current US$) '[SH.XPD.CHEX.PC.CD']]]</f>
        <v>2.534825400379308</v>
      </c>
      <c r="G577" s="4">
        <f>Table1[[#This Row],[Life expectancy at birth, total (years) '[SP.DYN.LE00.IN']]]/Table1[[#This Row],[Current health expenditure per capita (current US$) '[SH.XPD.CHEX.PC.CD']]]*1000</f>
        <v>2534.8254003793081</v>
      </c>
    </row>
    <row r="578" spans="1:7" x14ac:dyDescent="0.25">
      <c r="A578" s="5" t="s">
        <v>34</v>
      </c>
      <c r="B578" s="6" t="s">
        <v>300</v>
      </c>
      <c r="C578" s="5">
        <v>2020</v>
      </c>
      <c r="D578" s="7">
        <v>28.280015949999999</v>
      </c>
      <c r="E578" s="11">
        <v>65.968999999999994</v>
      </c>
      <c r="F578" s="10">
        <f>Table1[[#This Row],[Life expectancy at birth, total (years) '[SP.DYN.LE00.IN']]]/Table1[[#This Row],[Current health expenditure per capita (current US$) '[SH.XPD.CHEX.PC.CD']]]</f>
        <v>2.3327073123521345</v>
      </c>
      <c r="G578" s="4">
        <f>Table1[[#This Row],[Life expectancy at birth, total (years) '[SP.DYN.LE00.IN']]]/Table1[[#This Row],[Current health expenditure per capita (current US$) '[SH.XPD.CHEX.PC.CD']]]*1000</f>
        <v>2332.7073123521345</v>
      </c>
    </row>
    <row r="579" spans="1:7" x14ac:dyDescent="0.25">
      <c r="A579" s="5" t="s">
        <v>34</v>
      </c>
      <c r="B579" s="6" t="s">
        <v>300</v>
      </c>
      <c r="C579" s="5">
        <v>2021</v>
      </c>
      <c r="D579" s="7">
        <v>26.06931114</v>
      </c>
      <c r="E579" s="11">
        <v>65.33</v>
      </c>
      <c r="F579" s="10">
        <f>Table1[[#This Row],[Life expectancy at birth, total (years) '[SP.DYN.LE00.IN']]]/Table1[[#This Row],[Current health expenditure per capita (current US$) '[SH.XPD.CHEX.PC.CD']]]</f>
        <v>2.5060117488014297</v>
      </c>
      <c r="G579" s="4">
        <f>Table1[[#This Row],[Life expectancy at birth, total (years) '[SP.DYN.LE00.IN']]]/Table1[[#This Row],[Current health expenditure per capita (current US$) '[SH.XPD.CHEX.PC.CD']]]*1000</f>
        <v>2506.0117488014298</v>
      </c>
    </row>
    <row r="580" spans="1:7" x14ac:dyDescent="0.25">
      <c r="A580" s="5" t="s">
        <v>34</v>
      </c>
      <c r="B580" s="6" t="s">
        <v>300</v>
      </c>
      <c r="C580" s="5">
        <v>2022</v>
      </c>
      <c r="D580" s="7">
        <v>27.06845474</v>
      </c>
      <c r="E580" s="11">
        <v>66.897000000000006</v>
      </c>
      <c r="F580" s="10">
        <f>Table1[[#This Row],[Life expectancy at birth, total (years) '[SP.DYN.LE00.IN']]]/Table1[[#This Row],[Current health expenditure per capita (current US$) '[SH.XPD.CHEX.PC.CD']]]</f>
        <v>2.4714007741692021</v>
      </c>
      <c r="G580" s="4">
        <f>Table1[[#This Row],[Life expectancy at birth, total (years) '[SP.DYN.LE00.IN']]]/Table1[[#This Row],[Current health expenditure per capita (current US$) '[SH.XPD.CHEX.PC.CD']]]*1000</f>
        <v>2471.4007741692021</v>
      </c>
    </row>
    <row r="581" spans="1:7" x14ac:dyDescent="0.25">
      <c r="A581" s="5" t="s">
        <v>34</v>
      </c>
      <c r="B581" s="6" t="s">
        <v>300</v>
      </c>
      <c r="C581" s="5">
        <v>2023</v>
      </c>
      <c r="D581" s="7">
        <v>34.798469539999999</v>
      </c>
      <c r="E581" s="11">
        <v>67.314999999999998</v>
      </c>
      <c r="F581" s="10">
        <f>Table1[[#This Row],[Life expectancy at birth, total (years) '[SP.DYN.LE00.IN']]]/Table1[[#This Row],[Current health expenditure per capita (current US$) '[SH.XPD.CHEX.PC.CD']]]</f>
        <v>1.9344241539882387</v>
      </c>
      <c r="G581" s="4">
        <f>Table1[[#This Row],[Life expectancy at birth, total (years) '[SP.DYN.LE00.IN']]]/Table1[[#This Row],[Current health expenditure per capita (current US$) '[SH.XPD.CHEX.PC.CD']]]*1000</f>
        <v>1934.4241539882387</v>
      </c>
    </row>
    <row r="582" spans="1:7" hidden="1" x14ac:dyDescent="0.25">
      <c r="B582" s="1"/>
      <c r="D582" s="3"/>
      <c r="E582"/>
      <c r="F582" t="e">
        <f>Table1[[#This Row],[Life expectancy at birth, total (years) '[SP.DYN.LE00.IN']]]/Table1[[#This Row],[Current health expenditure per capita (current US$) '[SH.XPD.CHEX.PC.CD']]]</f>
        <v>#DIV/0!</v>
      </c>
      <c r="G582" s="2" t="e">
        <f>Table1[[#This Row],[Life expectancy at birth, total (years) '[SP.DYN.LE00.IN']]]/Table1[[#This Row],[Current health expenditure per capita (current US$) '[SH.XPD.CHEX.PC.CD']]]*1000</f>
        <v>#DIV/0!</v>
      </c>
    </row>
    <row r="583" spans="1:7" hidden="1" x14ac:dyDescent="0.25">
      <c r="B583" s="1"/>
      <c r="D583" s="3"/>
      <c r="E583"/>
      <c r="F583" t="e">
        <f>Table1[[#This Row],[Life expectancy at birth, total (years) '[SP.DYN.LE00.IN']]]/Table1[[#This Row],[Current health expenditure per capita (current US$) '[SH.XPD.CHEX.PC.CD']]]</f>
        <v>#DIV/0!</v>
      </c>
      <c r="G583" s="2" t="e">
        <f>Table1[[#This Row],[Life expectancy at birth, total (years) '[SP.DYN.LE00.IN']]]/Table1[[#This Row],[Current health expenditure per capita (current US$) '[SH.XPD.CHEX.PC.CD']]]*1000</f>
        <v>#DIV/0!</v>
      </c>
    </row>
    <row r="584" spans="1:7" x14ac:dyDescent="0.25">
      <c r="A584" s="5" t="s">
        <v>81</v>
      </c>
      <c r="B584" s="6" t="s">
        <v>348</v>
      </c>
      <c r="C584" s="5">
        <v>2015</v>
      </c>
      <c r="D584" s="7">
        <v>169.47518921</v>
      </c>
      <c r="E584" s="11">
        <v>66.48</v>
      </c>
      <c r="F584" s="10">
        <f>Table1[[#This Row],[Life expectancy at birth, total (years) '[SP.DYN.LE00.IN']]]/Table1[[#This Row],[Current health expenditure per capita (current US$) '[SH.XPD.CHEX.PC.CD']]]</f>
        <v>0.3922698084002334</v>
      </c>
      <c r="G584" s="4">
        <f>Table1[[#This Row],[Life expectancy at birth, total (years) '[SP.DYN.LE00.IN']]]/Table1[[#This Row],[Current health expenditure per capita (current US$) '[SH.XPD.CHEX.PC.CD']]]*1000</f>
        <v>392.26980840023339</v>
      </c>
    </row>
    <row r="585" spans="1:7" x14ac:dyDescent="0.25">
      <c r="A585" s="5" t="s">
        <v>81</v>
      </c>
      <c r="B585" s="6" t="s">
        <v>348</v>
      </c>
      <c r="C585" s="5">
        <v>2016</v>
      </c>
      <c r="D585" s="7">
        <v>175.91635131999999</v>
      </c>
      <c r="E585" s="11">
        <v>66.656999999999996</v>
      </c>
      <c r="F585" s="10">
        <f>Table1[[#This Row],[Life expectancy at birth, total (years) '[SP.DYN.LE00.IN']]]/Table1[[#This Row],[Current health expenditure per capita (current US$) '[SH.XPD.CHEX.PC.CD']]]</f>
        <v>0.37891304304480389</v>
      </c>
      <c r="G585" s="4">
        <f>Table1[[#This Row],[Life expectancy at birth, total (years) '[SP.DYN.LE00.IN']]]/Table1[[#This Row],[Current health expenditure per capita (current US$) '[SH.XPD.CHEX.PC.CD']]]*1000</f>
        <v>378.91304304480389</v>
      </c>
    </row>
    <row r="586" spans="1:7" x14ac:dyDescent="0.25">
      <c r="A586" s="5" t="s">
        <v>81</v>
      </c>
      <c r="B586" s="6" t="s">
        <v>348</v>
      </c>
      <c r="C586" s="5">
        <v>2017</v>
      </c>
      <c r="D586" s="7">
        <v>185.69645690999999</v>
      </c>
      <c r="E586" s="11">
        <v>67.06</v>
      </c>
      <c r="F586" s="10">
        <f>Table1[[#This Row],[Life expectancy at birth, total (years) '[SP.DYN.LE00.IN']]]/Table1[[#This Row],[Current health expenditure per capita (current US$) '[SH.XPD.CHEX.PC.CD']]]</f>
        <v>0.36112697633483354</v>
      </c>
      <c r="G586" s="4">
        <f>Table1[[#This Row],[Life expectancy at birth, total (years) '[SP.DYN.LE00.IN']]]/Table1[[#This Row],[Current health expenditure per capita (current US$) '[SH.XPD.CHEX.PC.CD']]]*1000</f>
        <v>361.12697633483356</v>
      </c>
    </row>
    <row r="587" spans="1:7" x14ac:dyDescent="0.25">
      <c r="A587" s="5" t="s">
        <v>81</v>
      </c>
      <c r="B587" s="6" t="s">
        <v>348</v>
      </c>
      <c r="C587" s="5">
        <v>2018</v>
      </c>
      <c r="D587" s="7">
        <v>249.86022948999999</v>
      </c>
      <c r="E587" s="11">
        <v>66.965000000000003</v>
      </c>
      <c r="F587" s="10">
        <f>Table1[[#This Row],[Life expectancy at birth, total (years) '[SP.DYN.LE00.IN']]]/Table1[[#This Row],[Current health expenditure per capita (current US$) '[SH.XPD.CHEX.PC.CD']]]</f>
        <v>0.26800983948780094</v>
      </c>
      <c r="G587" s="4">
        <f>Table1[[#This Row],[Life expectancy at birth, total (years) '[SP.DYN.LE00.IN']]]/Table1[[#This Row],[Current health expenditure per capita (current US$) '[SH.XPD.CHEX.PC.CD']]]*1000</f>
        <v>268.00983948780095</v>
      </c>
    </row>
    <row r="588" spans="1:7" x14ac:dyDescent="0.25">
      <c r="A588" s="5" t="s">
        <v>81</v>
      </c>
      <c r="B588" s="6" t="s">
        <v>348</v>
      </c>
      <c r="C588" s="5">
        <v>2019</v>
      </c>
      <c r="D588" s="7">
        <v>254.83047485</v>
      </c>
      <c r="E588" s="11">
        <v>67.009</v>
      </c>
      <c r="F588" s="10">
        <f>Table1[[#This Row],[Life expectancy at birth, total (years) '[SP.DYN.LE00.IN']]]/Table1[[#This Row],[Current health expenditure per capita (current US$) '[SH.XPD.CHEX.PC.CD']]]</f>
        <v>0.26295520596366379</v>
      </c>
      <c r="G588" s="4">
        <f>Table1[[#This Row],[Life expectancy at birth, total (years) '[SP.DYN.LE00.IN']]]/Table1[[#This Row],[Current health expenditure per capita (current US$) '[SH.XPD.CHEX.PC.CD']]]*1000</f>
        <v>262.95520596366379</v>
      </c>
    </row>
    <row r="589" spans="1:7" x14ac:dyDescent="0.25">
      <c r="A589" s="5" t="s">
        <v>81</v>
      </c>
      <c r="B589" s="6" t="s">
        <v>348</v>
      </c>
      <c r="C589" s="5">
        <v>2020</v>
      </c>
      <c r="D589" s="7">
        <v>256.25967407000002</v>
      </c>
      <c r="E589" s="11">
        <v>66.924000000000007</v>
      </c>
      <c r="F589" s="10">
        <f>Table1[[#This Row],[Life expectancy at birth, total (years) '[SP.DYN.LE00.IN']]]/Table1[[#This Row],[Current health expenditure per capita (current US$) '[SH.XPD.CHEX.PC.CD']]]</f>
        <v>0.26115696994806531</v>
      </c>
      <c r="G589" s="4">
        <f>Table1[[#This Row],[Life expectancy at birth, total (years) '[SP.DYN.LE00.IN']]]/Table1[[#This Row],[Current health expenditure per capita (current US$) '[SH.XPD.CHEX.PC.CD']]]*1000</f>
        <v>261.1569699480653</v>
      </c>
    </row>
    <row r="590" spans="1:7" x14ac:dyDescent="0.25">
      <c r="A590" s="5" t="s">
        <v>81</v>
      </c>
      <c r="B590" s="6" t="s">
        <v>348</v>
      </c>
      <c r="C590" s="5">
        <v>2021</v>
      </c>
      <c r="D590" s="7">
        <v>331.58413696000002</v>
      </c>
      <c r="E590" s="11">
        <v>64.903999999999996</v>
      </c>
      <c r="F590" s="10">
        <f>Table1[[#This Row],[Life expectancy at birth, total (years) '[SP.DYN.LE00.IN']]]/Table1[[#This Row],[Current health expenditure per capita (current US$) '[SH.XPD.CHEX.PC.CD']]]</f>
        <v>0.19573915867944419</v>
      </c>
      <c r="G590" s="4">
        <f>Table1[[#This Row],[Life expectancy at birth, total (years) '[SP.DYN.LE00.IN']]]/Table1[[#This Row],[Current health expenditure per capita (current US$) '[SH.XPD.CHEX.PC.CD']]]*1000</f>
        <v>195.73915867944419</v>
      </c>
    </row>
    <row r="591" spans="1:7" x14ac:dyDescent="0.25">
      <c r="A591" s="5" t="s">
        <v>81</v>
      </c>
      <c r="B591" s="6" t="s">
        <v>348</v>
      </c>
      <c r="C591" s="5">
        <v>2022</v>
      </c>
      <c r="D591" s="7">
        <v>217.15068054</v>
      </c>
      <c r="E591" s="11">
        <v>67.147999999999996</v>
      </c>
      <c r="F591" s="10">
        <f>Table1[[#This Row],[Life expectancy at birth, total (years) '[SP.DYN.LE00.IN']]]/Table1[[#This Row],[Current health expenditure per capita (current US$) '[SH.XPD.CHEX.PC.CD']]]</f>
        <v>0.3092230695893724</v>
      </c>
      <c r="G591" s="4">
        <f>Table1[[#This Row],[Life expectancy at birth, total (years) '[SP.DYN.LE00.IN']]]/Table1[[#This Row],[Current health expenditure per capita (current US$) '[SH.XPD.CHEX.PC.CD']]]*1000</f>
        <v>309.22306958937241</v>
      </c>
    </row>
    <row r="592" spans="1:7" x14ac:dyDescent="0.25">
      <c r="A592" s="5" t="s">
        <v>81</v>
      </c>
      <c r="B592" s="6" t="s">
        <v>348</v>
      </c>
      <c r="C592" s="5">
        <v>2023</v>
      </c>
      <c r="D592" s="7">
        <v>212.88697815</v>
      </c>
      <c r="E592" s="11">
        <v>67.316000000000003</v>
      </c>
      <c r="F592" s="10">
        <f>Table1[[#This Row],[Life expectancy at birth, total (years) '[SP.DYN.LE00.IN']]]/Table1[[#This Row],[Current health expenditure per capita (current US$) '[SH.XPD.CHEX.PC.CD']]]</f>
        <v>0.31620534325293115</v>
      </c>
      <c r="G592" s="4">
        <f>Table1[[#This Row],[Life expectancy at birth, total (years) '[SP.DYN.LE00.IN']]]/Table1[[#This Row],[Current health expenditure per capita (current US$) '[SH.XPD.CHEX.PC.CD']]]*1000</f>
        <v>316.20534325293113</v>
      </c>
    </row>
    <row r="593" spans="1:7" hidden="1" x14ac:dyDescent="0.25">
      <c r="B593" s="1"/>
      <c r="D593" s="3"/>
      <c r="E593"/>
      <c r="F593" t="e">
        <f>Table1[[#This Row],[Life expectancy at birth, total (years) '[SP.DYN.LE00.IN']]]/Table1[[#This Row],[Current health expenditure per capita (current US$) '[SH.XPD.CHEX.PC.CD']]]</f>
        <v>#DIV/0!</v>
      </c>
      <c r="G593" s="2" t="e">
        <f>Table1[[#This Row],[Life expectancy at birth, total (years) '[SP.DYN.LE00.IN']]]/Table1[[#This Row],[Current health expenditure per capita (current US$) '[SH.XPD.CHEX.PC.CD']]]*1000</f>
        <v>#DIV/0!</v>
      </c>
    </row>
    <row r="594" spans="1:7" x14ac:dyDescent="0.25">
      <c r="A594" s="5" t="s">
        <v>109</v>
      </c>
      <c r="B594" s="6" t="s">
        <v>340</v>
      </c>
      <c r="C594" s="5">
        <v>2015</v>
      </c>
      <c r="D594" s="7">
        <v>4128.2075195300004</v>
      </c>
      <c r="E594" s="11">
        <v>81.480487804878067</v>
      </c>
      <c r="F594" s="10">
        <f>Table1[[#This Row],[Life expectancy at birth, total (years) '[SP.DYN.LE00.IN']]]/Table1[[#This Row],[Current health expenditure per capita (current US$) '[SH.XPD.CHEX.PC.CD']]]</f>
        <v>1.9737498035019976E-2</v>
      </c>
      <c r="G594" s="4">
        <f>Table1[[#This Row],[Life expectancy at birth, total (years) '[SP.DYN.LE00.IN']]]/Table1[[#This Row],[Current health expenditure per capita (current US$) '[SH.XPD.CHEX.PC.CD']]]*1000</f>
        <v>19.737498035019975</v>
      </c>
    </row>
    <row r="595" spans="1:7" x14ac:dyDescent="0.25">
      <c r="A595" s="5" t="s">
        <v>109</v>
      </c>
      <c r="B595" s="6" t="s">
        <v>340</v>
      </c>
      <c r="C595" s="5">
        <v>2016</v>
      </c>
      <c r="D595" s="7">
        <v>4108.7397460900002</v>
      </c>
      <c r="E595" s="11">
        <v>81.429268292682934</v>
      </c>
      <c r="F595" s="10">
        <f>Table1[[#This Row],[Life expectancy at birth, total (years) '[SP.DYN.LE00.IN']]]/Table1[[#This Row],[Current health expenditure per capita (current US$) '[SH.XPD.CHEX.PC.CD']]]</f>
        <v>1.9818551021678475E-2</v>
      </c>
      <c r="G595" s="4">
        <f>Table1[[#This Row],[Life expectancy at birth, total (years) '[SP.DYN.LE00.IN']]]/Table1[[#This Row],[Current health expenditure per capita (current US$) '[SH.XPD.CHEX.PC.CD']]]*1000</f>
        <v>19.818551021678473</v>
      </c>
    </row>
    <row r="596" spans="1:7" x14ac:dyDescent="0.25">
      <c r="A596" s="5" t="s">
        <v>109</v>
      </c>
      <c r="B596" s="6" t="s">
        <v>340</v>
      </c>
      <c r="C596" s="5">
        <v>2017</v>
      </c>
      <c r="D596" s="7">
        <v>4235.7548828099998</v>
      </c>
      <c r="E596" s="11">
        <v>81.631707317073193</v>
      </c>
      <c r="F596" s="10">
        <f>Table1[[#This Row],[Life expectancy at birth, total (years) '[SP.DYN.LE00.IN']]]/Table1[[#This Row],[Current health expenditure per capita (current US$) '[SH.XPD.CHEX.PC.CD']]]</f>
        <v>1.9272056475307352E-2</v>
      </c>
      <c r="G596" s="4">
        <f>Table1[[#This Row],[Life expectancy at birth, total (years) '[SP.DYN.LE00.IN']]]/Table1[[#This Row],[Current health expenditure per capita (current US$) '[SH.XPD.CHEX.PC.CD']]]*1000</f>
        <v>19.272056475307352</v>
      </c>
    </row>
    <row r="597" spans="1:7" x14ac:dyDescent="0.25">
      <c r="A597" s="5" t="s">
        <v>109</v>
      </c>
      <c r="B597" s="6" t="s">
        <v>340</v>
      </c>
      <c r="C597" s="5">
        <v>2018</v>
      </c>
      <c r="D597" s="7">
        <v>4521.2763671900002</v>
      </c>
      <c r="E597" s="11">
        <v>81.734146341463429</v>
      </c>
      <c r="F597" s="10">
        <f>Table1[[#This Row],[Life expectancy at birth, total (years) '[SP.DYN.LE00.IN']]]/Table1[[#This Row],[Current health expenditure per capita (current US$) '[SH.XPD.CHEX.PC.CD']]]</f>
        <v>1.807767092819006E-2</v>
      </c>
      <c r="G597" s="4">
        <f>Table1[[#This Row],[Life expectancy at birth, total (years) '[SP.DYN.LE00.IN']]]/Table1[[#This Row],[Current health expenditure per capita (current US$) '[SH.XPD.CHEX.PC.CD']]]*1000</f>
        <v>18.077670928190059</v>
      </c>
    </row>
    <row r="598" spans="1:7" x14ac:dyDescent="0.25">
      <c r="A598" s="5" t="s">
        <v>109</v>
      </c>
      <c r="B598" s="6" t="s">
        <v>340</v>
      </c>
      <c r="C598" s="5">
        <v>2019</v>
      </c>
      <c r="D598" s="7">
        <v>4459.9296875</v>
      </c>
      <c r="E598" s="11">
        <v>81.982926829268294</v>
      </c>
      <c r="F598" s="10">
        <f>Table1[[#This Row],[Life expectancy at birth, total (years) '[SP.DYN.LE00.IN']]]/Table1[[#This Row],[Current health expenditure per capita (current US$) '[SH.XPD.CHEX.PC.CD']]]</f>
        <v>1.8382111955496674E-2</v>
      </c>
      <c r="G598" s="4">
        <f>Table1[[#This Row],[Life expectancy at birth, total (years) '[SP.DYN.LE00.IN']]]/Table1[[#This Row],[Current health expenditure per capita (current US$) '[SH.XPD.CHEX.PC.CD']]]*1000</f>
        <v>18.382111955496676</v>
      </c>
    </row>
    <row r="599" spans="1:7" x14ac:dyDescent="0.25">
      <c r="A599" s="5" t="s">
        <v>109</v>
      </c>
      <c r="B599" s="6" t="s">
        <v>340</v>
      </c>
      <c r="C599" s="5">
        <v>2020</v>
      </c>
      <c r="D599" s="7">
        <v>4736.2143554699996</v>
      </c>
      <c r="E599" s="11">
        <v>81.931707317073176</v>
      </c>
      <c r="F599" s="10">
        <f>Table1[[#This Row],[Life expectancy at birth, total (years) '[SP.DYN.LE00.IN']]]/Table1[[#This Row],[Current health expenditure per capita (current US$) '[SH.XPD.CHEX.PC.CD']]]</f>
        <v>1.7298986314343592E-2</v>
      </c>
      <c r="G599" s="4">
        <f>Table1[[#This Row],[Life expectancy at birth, total (years) '[SP.DYN.LE00.IN']]]/Table1[[#This Row],[Current health expenditure per capita (current US$) '[SH.XPD.CHEX.PC.CD']]]*1000</f>
        <v>17.29898631434359</v>
      </c>
    </row>
    <row r="600" spans="1:7" x14ac:dyDescent="0.25">
      <c r="A600" s="5" t="s">
        <v>109</v>
      </c>
      <c r="B600" s="6" t="s">
        <v>340</v>
      </c>
      <c r="C600" s="5">
        <v>2021</v>
      </c>
      <c r="D600" s="7">
        <v>5261.9096679699996</v>
      </c>
      <c r="E600" s="11">
        <v>81.885365853658541</v>
      </c>
      <c r="F600" s="10">
        <f>Table1[[#This Row],[Life expectancy at birth, total (years) '[SP.DYN.LE00.IN']]]/Table1[[#This Row],[Current health expenditure per capita (current US$) '[SH.XPD.CHEX.PC.CD']]]</f>
        <v>1.5561910222842959E-2</v>
      </c>
      <c r="G600" s="4">
        <f>Table1[[#This Row],[Life expectancy at birth, total (years) '[SP.DYN.LE00.IN']]]/Table1[[#This Row],[Current health expenditure per capita (current US$) '[SH.XPD.CHEX.PC.CD']]]*1000</f>
        <v>15.561910222842959</v>
      </c>
    </row>
    <row r="601" spans="1:7" x14ac:dyDescent="0.25">
      <c r="A601" s="5" t="s">
        <v>109</v>
      </c>
      <c r="B601" s="6" t="s">
        <v>340</v>
      </c>
      <c r="C601" s="5">
        <v>2022</v>
      </c>
      <c r="D601" s="7">
        <v>4902.0390625</v>
      </c>
      <c r="E601" s="11">
        <v>81.187804878048794</v>
      </c>
      <c r="F601" s="10">
        <f>Table1[[#This Row],[Life expectancy at birth, total (years) '[SP.DYN.LE00.IN']]]/Table1[[#This Row],[Current health expenditure per capita (current US$) '[SH.XPD.CHEX.PC.CD']]]</f>
        <v>1.6562047719922427E-2</v>
      </c>
      <c r="G601" s="4">
        <f>Table1[[#This Row],[Life expectancy at birth, total (years) '[SP.DYN.LE00.IN']]]/Table1[[#This Row],[Current health expenditure per capita (current US$) '[SH.XPD.CHEX.PC.CD']]]*1000</f>
        <v>16.562047719922425</v>
      </c>
    </row>
    <row r="602" spans="1:7" x14ac:dyDescent="0.25">
      <c r="A602" s="5" t="s">
        <v>109</v>
      </c>
      <c r="B602" s="6" t="s">
        <v>340</v>
      </c>
      <c r="C602" s="5">
        <v>2023</v>
      </c>
      <c r="D602" s="7">
        <v>5515.4047851599998</v>
      </c>
      <c r="E602" s="11">
        <v>81.685365853658539</v>
      </c>
      <c r="F602" s="10">
        <f>Table1[[#This Row],[Life expectancy at birth, total (years) '[SP.DYN.LE00.IN']]]/Table1[[#This Row],[Current health expenditure per capita (current US$) '[SH.XPD.CHEX.PC.CD']]]</f>
        <v>1.4810402687658559E-2</v>
      </c>
      <c r="G602" s="4">
        <f>Table1[[#This Row],[Life expectancy at birth, total (years) '[SP.DYN.LE00.IN']]]/Table1[[#This Row],[Current health expenditure per capita (current US$) '[SH.XPD.CHEX.PC.CD']]]*1000</f>
        <v>14.810402687658559</v>
      </c>
    </row>
    <row r="603" spans="1:7" hidden="1" x14ac:dyDescent="0.25">
      <c r="B603" s="1"/>
      <c r="D603" s="3"/>
      <c r="E603"/>
      <c r="F603" t="e">
        <f>Table1[[#This Row],[Life expectancy at birth, total (years) '[SP.DYN.LE00.IN']]]/Table1[[#This Row],[Current health expenditure per capita (current US$) '[SH.XPD.CHEX.PC.CD']]]</f>
        <v>#DIV/0!</v>
      </c>
      <c r="G603" s="2" t="e">
        <f>Table1[[#This Row],[Life expectancy at birth, total (years) '[SP.DYN.LE00.IN']]]/Table1[[#This Row],[Current health expenditure per capita (current US$) '[SH.XPD.CHEX.PC.CD']]]*1000</f>
        <v>#DIV/0!</v>
      </c>
    </row>
    <row r="604" spans="1:7" x14ac:dyDescent="0.25">
      <c r="A604" s="5" t="s">
        <v>316</v>
      </c>
      <c r="B604" s="6" t="s">
        <v>386</v>
      </c>
      <c r="C604" s="5">
        <v>2015</v>
      </c>
      <c r="D604" s="7">
        <v>4226.6264648400002</v>
      </c>
      <c r="E604" s="11">
        <v>82.321951219512201</v>
      </c>
      <c r="F604" s="10">
        <f>Table1[[#This Row],[Life expectancy at birth, total (years) '[SP.DYN.LE00.IN']]]/Table1[[#This Row],[Current health expenditure per capita (current US$) '[SH.XPD.CHEX.PC.CD']]]</f>
        <v>1.9476987593846553E-2</v>
      </c>
      <c r="G604" s="4">
        <f>Table1[[#This Row],[Life expectancy at birth, total (years) '[SP.DYN.LE00.IN']]]/Table1[[#This Row],[Current health expenditure per capita (current US$) '[SH.XPD.CHEX.PC.CD']]]*1000</f>
        <v>19.476987593846552</v>
      </c>
    </row>
    <row r="605" spans="1:7" x14ac:dyDescent="0.25">
      <c r="A605" s="5" t="s">
        <v>316</v>
      </c>
      <c r="B605" s="6" t="s">
        <v>386</v>
      </c>
      <c r="C605" s="5">
        <v>2016</v>
      </c>
      <c r="D605" s="7">
        <v>4289.3471679699996</v>
      </c>
      <c r="E605" s="11">
        <v>82.573170731707322</v>
      </c>
      <c r="F605" s="10">
        <f>Table1[[#This Row],[Life expectancy at birth, total (years) '[SP.DYN.LE00.IN']]]/Table1[[#This Row],[Current health expenditure per capita (current US$) '[SH.XPD.CHEX.PC.CD']]]</f>
        <v>1.9250754834747117E-2</v>
      </c>
      <c r="G605" s="4">
        <f>Table1[[#This Row],[Life expectancy at birth, total (years) '[SP.DYN.LE00.IN']]]/Table1[[#This Row],[Current health expenditure per capita (current US$) '[SH.XPD.CHEX.PC.CD']]]*1000</f>
        <v>19.250754834747116</v>
      </c>
    </row>
    <row r="606" spans="1:7" x14ac:dyDescent="0.25">
      <c r="A606" s="5" t="s">
        <v>316</v>
      </c>
      <c r="B606" s="6" t="s">
        <v>386</v>
      </c>
      <c r="C606" s="5">
        <v>2017</v>
      </c>
      <c r="D606" s="7">
        <v>4436.6372070300004</v>
      </c>
      <c r="E606" s="11">
        <v>82.575609756097563</v>
      </c>
      <c r="F606" s="10">
        <f>Table1[[#This Row],[Life expectancy at birth, total (years) '[SP.DYN.LE00.IN']]]/Table1[[#This Row],[Current health expenditure per capita (current US$) '[SH.XPD.CHEX.PC.CD']]]</f>
        <v>1.8612206926735805E-2</v>
      </c>
      <c r="G606" s="4">
        <f>Table1[[#This Row],[Life expectancy at birth, total (years) '[SP.DYN.LE00.IN']]]/Table1[[#This Row],[Current health expenditure per capita (current US$) '[SH.XPD.CHEX.PC.CD']]]*1000</f>
        <v>18.612206926735805</v>
      </c>
    </row>
    <row r="607" spans="1:7" x14ac:dyDescent="0.25">
      <c r="A607" s="5" t="s">
        <v>316</v>
      </c>
      <c r="B607" s="6" t="s">
        <v>386</v>
      </c>
      <c r="C607" s="5">
        <v>2018</v>
      </c>
      <c r="D607" s="7">
        <v>4692.9951171900002</v>
      </c>
      <c r="E607" s="11">
        <v>82.675609756097572</v>
      </c>
      <c r="F607" s="10">
        <f>Table1[[#This Row],[Life expectancy at birth, total (years) '[SP.DYN.LE00.IN']]]/Table1[[#This Row],[Current health expenditure per capita (current US$) '[SH.XPD.CHEX.PC.CD']]]</f>
        <v>1.761681137345841E-2</v>
      </c>
      <c r="G607" s="4">
        <f>Table1[[#This Row],[Life expectancy at birth, total (years) '[SP.DYN.LE00.IN']]]/Table1[[#This Row],[Current health expenditure per capita (current US$) '[SH.XPD.CHEX.PC.CD']]]*1000</f>
        <v>17.616811373458411</v>
      </c>
    </row>
    <row r="608" spans="1:7" x14ac:dyDescent="0.25">
      <c r="A608" s="5" t="s">
        <v>316</v>
      </c>
      <c r="B608" s="6" t="s">
        <v>386</v>
      </c>
      <c r="C608" s="5">
        <v>2019</v>
      </c>
      <c r="D608" s="7">
        <v>4519.9858398400002</v>
      </c>
      <c r="E608" s="11">
        <v>82.826829268292698</v>
      </c>
      <c r="F608" s="10">
        <f>Table1[[#This Row],[Life expectancy at birth, total (years) '[SP.DYN.LE00.IN']]]/Table1[[#This Row],[Current health expenditure per capita (current US$) '[SH.XPD.CHEX.PC.CD']]]</f>
        <v>1.8324577156468399E-2</v>
      </c>
      <c r="G608" s="4">
        <f>Table1[[#This Row],[Life expectancy at birth, total (years) '[SP.DYN.LE00.IN']]]/Table1[[#This Row],[Current health expenditure per capita (current US$) '[SH.XPD.CHEX.PC.CD']]]*1000</f>
        <v>18.324577156468401</v>
      </c>
    </row>
    <row r="609" spans="1:7" x14ac:dyDescent="0.25">
      <c r="A609" s="5" t="s">
        <v>316</v>
      </c>
      <c r="B609" s="6" t="s">
        <v>386</v>
      </c>
      <c r="C609" s="5">
        <v>2020</v>
      </c>
      <c r="D609" s="7">
        <v>4760.0825195300004</v>
      </c>
      <c r="E609" s="11">
        <v>82.175609756097572</v>
      </c>
      <c r="F609" s="10">
        <f>Table1[[#This Row],[Life expectancy at birth, total (years) '[SP.DYN.LE00.IN']]]/Table1[[#This Row],[Current health expenditure per capita (current US$) '[SH.XPD.CHEX.PC.CD']]]</f>
        <v>1.7263484281825309E-2</v>
      </c>
      <c r="G609" s="4">
        <f>Table1[[#This Row],[Life expectancy at birth, total (years) '[SP.DYN.LE00.IN']]]/Table1[[#This Row],[Current health expenditure per capita (current US$) '[SH.XPD.CHEX.PC.CD']]]*1000</f>
        <v>17.26348428182531</v>
      </c>
    </row>
    <row r="610" spans="1:7" x14ac:dyDescent="0.25">
      <c r="A610" s="5" t="s">
        <v>316</v>
      </c>
      <c r="B610" s="6" t="s">
        <v>386</v>
      </c>
      <c r="C610" s="5">
        <v>2021</v>
      </c>
      <c r="D610" s="7">
        <v>5364.8974609400002</v>
      </c>
      <c r="E610" s="11">
        <v>82.324390243902442</v>
      </c>
      <c r="F610" s="10">
        <f>Table1[[#This Row],[Life expectancy at birth, total (years) '[SP.DYN.LE00.IN']]]/Table1[[#This Row],[Current health expenditure per capita (current US$) '[SH.XPD.CHEX.PC.CD']]]</f>
        <v>1.5345007214635213E-2</v>
      </c>
      <c r="G610" s="4">
        <f>Table1[[#This Row],[Life expectancy at birth, total (years) '[SP.DYN.LE00.IN']]]/Table1[[#This Row],[Current health expenditure per capita (current US$) '[SH.XPD.CHEX.PC.CD']]]*1000</f>
        <v>15.345007214635213</v>
      </c>
    </row>
    <row r="611" spans="1:7" x14ac:dyDescent="0.25">
      <c r="A611" s="5" t="s">
        <v>316</v>
      </c>
      <c r="B611" s="6" t="s">
        <v>386</v>
      </c>
      <c r="C611" s="5">
        <v>2022</v>
      </c>
      <c r="D611" s="7">
        <v>4857.7338867199996</v>
      </c>
      <c r="E611" s="11">
        <v>82.129268292682937</v>
      </c>
      <c r="F611" s="10">
        <f>Table1[[#This Row],[Life expectancy at birth, total (years) '[SP.DYN.LE00.IN']]]/Table1[[#This Row],[Current health expenditure per capita (current US$) '[SH.XPD.CHEX.PC.CD']]]</f>
        <v>1.6906909725377652E-2</v>
      </c>
      <c r="G611" s="4">
        <f>Table1[[#This Row],[Life expectancy at birth, total (years) '[SP.DYN.LE00.IN']]]/Table1[[#This Row],[Current health expenditure per capita (current US$) '[SH.XPD.CHEX.PC.CD']]]*1000</f>
        <v>16.906909725377652</v>
      </c>
    </row>
    <row r="612" spans="1:7" x14ac:dyDescent="0.25">
      <c r="A612" s="5" t="s">
        <v>316</v>
      </c>
      <c r="B612" s="6" t="s">
        <v>386</v>
      </c>
      <c r="C612" s="5">
        <v>2023</v>
      </c>
      <c r="D612" s="7">
        <v>5149.0546875</v>
      </c>
      <c r="E612" s="11">
        <v>82.929268292682934</v>
      </c>
      <c r="F612" s="10">
        <f>Table1[[#This Row],[Life expectancy at birth, total (years) '[SP.DYN.LE00.IN']]]/Table1[[#This Row],[Current health expenditure per capita (current US$) '[SH.XPD.CHEX.PC.CD']]]</f>
        <v>1.6105726842250194E-2</v>
      </c>
      <c r="G612" s="4">
        <f>Table1[[#This Row],[Life expectancy at birth, total (years) '[SP.DYN.LE00.IN']]]/Table1[[#This Row],[Current health expenditure per capita (current US$) '[SH.XPD.CHEX.PC.CD']]]*1000</f>
        <v>16.105726842250196</v>
      </c>
    </row>
    <row r="613" spans="1:7" hidden="1" x14ac:dyDescent="0.25">
      <c r="B613" s="1"/>
      <c r="D613" s="3"/>
      <c r="E613"/>
      <c r="F613" t="e">
        <f>Table1[[#This Row],[Life expectancy at birth, total (years) '[SP.DYN.LE00.IN']]]/Table1[[#This Row],[Current health expenditure per capita (current US$) '[SH.XPD.CHEX.PC.CD']]]</f>
        <v>#DIV/0!</v>
      </c>
      <c r="G613" s="2" t="e">
        <f>Table1[[#This Row],[Life expectancy at birth, total (years) '[SP.DYN.LE00.IN']]]/Table1[[#This Row],[Current health expenditure per capita (current US$) '[SH.XPD.CHEX.PC.CD']]]*1000</f>
        <v>#DIV/0!</v>
      </c>
    </row>
    <row r="614" spans="1:7" x14ac:dyDescent="0.25">
      <c r="A614" s="5" t="s">
        <v>270</v>
      </c>
      <c r="B614" s="6" t="s">
        <v>261</v>
      </c>
      <c r="C614" s="5">
        <v>2015</v>
      </c>
      <c r="D614" s="7">
        <v>187.27270508000001</v>
      </c>
      <c r="E614" s="11">
        <v>66.335999999999999</v>
      </c>
      <c r="F614" s="10">
        <f>Table1[[#This Row],[Life expectancy at birth, total (years) '[SP.DYN.LE00.IN']]]/Table1[[#This Row],[Current health expenditure per capita (current US$) '[SH.XPD.CHEX.PC.CD']]]</f>
        <v>0.35422140120025652</v>
      </c>
      <c r="G614" s="4">
        <f>Table1[[#This Row],[Life expectancy at birth, total (years) '[SP.DYN.LE00.IN']]]/Table1[[#This Row],[Current health expenditure per capita (current US$) '[SH.XPD.CHEX.PC.CD']]]*1000</f>
        <v>354.22140120025654</v>
      </c>
    </row>
    <row r="615" spans="1:7" x14ac:dyDescent="0.25">
      <c r="A615" s="5" t="s">
        <v>270</v>
      </c>
      <c r="B615" s="6" t="s">
        <v>261</v>
      </c>
      <c r="C615" s="5">
        <v>2016</v>
      </c>
      <c r="D615" s="7">
        <v>207.50273132000001</v>
      </c>
      <c r="E615" s="11">
        <v>66.582999999999998</v>
      </c>
      <c r="F615" s="10">
        <f>Table1[[#This Row],[Life expectancy at birth, total (years) '[SP.DYN.LE00.IN']]]/Table1[[#This Row],[Current health expenditure per capita (current US$) '[SH.XPD.CHEX.PC.CD']]]</f>
        <v>0.32087770400149157</v>
      </c>
      <c r="G615" s="4">
        <f>Table1[[#This Row],[Life expectancy at birth, total (years) '[SP.DYN.LE00.IN']]]/Table1[[#This Row],[Current health expenditure per capita (current US$) '[SH.XPD.CHEX.PC.CD']]]*1000</f>
        <v>320.87770400149157</v>
      </c>
    </row>
    <row r="616" spans="1:7" x14ac:dyDescent="0.25">
      <c r="A616" s="5" t="s">
        <v>270</v>
      </c>
      <c r="B616" s="6" t="s">
        <v>261</v>
      </c>
      <c r="C616" s="5">
        <v>2017</v>
      </c>
      <c r="D616" s="7">
        <v>192.47543335</v>
      </c>
      <c r="E616" s="11">
        <v>66.816000000000003</v>
      </c>
      <c r="F616" s="10">
        <f>Table1[[#This Row],[Life expectancy at birth, total (years) '[SP.DYN.LE00.IN']]]/Table1[[#This Row],[Current health expenditure per capita (current US$) '[SH.XPD.CHEX.PC.CD']]]</f>
        <v>0.34714040559400045</v>
      </c>
      <c r="G616" s="4">
        <f>Table1[[#This Row],[Life expectancy at birth, total (years) '[SP.DYN.LE00.IN']]]/Table1[[#This Row],[Current health expenditure per capita (current US$) '[SH.XPD.CHEX.PC.CD']]]*1000</f>
        <v>347.14040559400047</v>
      </c>
    </row>
    <row r="617" spans="1:7" x14ac:dyDescent="0.25">
      <c r="A617" s="5" t="s">
        <v>270</v>
      </c>
      <c r="B617" s="6" t="s">
        <v>261</v>
      </c>
      <c r="C617" s="5">
        <v>2018</v>
      </c>
      <c r="D617" s="7">
        <v>209.28697205</v>
      </c>
      <c r="E617" s="11">
        <v>67.043000000000006</v>
      </c>
      <c r="F617" s="10">
        <f>Table1[[#This Row],[Life expectancy at birth, total (years) '[SP.DYN.LE00.IN']]]/Table1[[#This Row],[Current health expenditure per capita (current US$) '[SH.XPD.CHEX.PC.CD']]]</f>
        <v>0.32034005434405638</v>
      </c>
      <c r="G617" s="4">
        <f>Table1[[#This Row],[Life expectancy at birth, total (years) '[SP.DYN.LE00.IN']]]/Table1[[#This Row],[Current health expenditure per capita (current US$) '[SH.XPD.CHEX.PC.CD']]]*1000</f>
        <v>320.3400543440564</v>
      </c>
    </row>
    <row r="618" spans="1:7" x14ac:dyDescent="0.25">
      <c r="A618" s="5" t="s">
        <v>270</v>
      </c>
      <c r="B618" s="6" t="s">
        <v>261</v>
      </c>
      <c r="C618" s="5">
        <v>2019</v>
      </c>
      <c r="D618" s="7">
        <v>205.99945068</v>
      </c>
      <c r="E618" s="11">
        <v>67.337000000000003</v>
      </c>
      <c r="F618" s="10">
        <f>Table1[[#This Row],[Life expectancy at birth, total (years) '[SP.DYN.LE00.IN']]]/Table1[[#This Row],[Current health expenditure per capita (current US$) '[SH.XPD.CHEX.PC.CD']]]</f>
        <v>0.32687951243424163</v>
      </c>
      <c r="G618" s="4">
        <f>Table1[[#This Row],[Life expectancy at birth, total (years) '[SP.DYN.LE00.IN']]]/Table1[[#This Row],[Current health expenditure per capita (current US$) '[SH.XPD.CHEX.PC.CD']]]*1000</f>
        <v>326.87951243424163</v>
      </c>
    </row>
    <row r="619" spans="1:7" x14ac:dyDescent="0.25">
      <c r="A619" s="5" t="s">
        <v>270</v>
      </c>
      <c r="B619" s="6" t="s">
        <v>261</v>
      </c>
      <c r="C619" s="5">
        <v>2020</v>
      </c>
      <c r="D619" s="7">
        <v>227.24800110000001</v>
      </c>
      <c r="E619" s="11">
        <v>67.072999999999993</v>
      </c>
      <c r="F619" s="10">
        <f>Table1[[#This Row],[Life expectancy at birth, total (years) '[SP.DYN.LE00.IN']]]/Table1[[#This Row],[Current health expenditure per capita (current US$) '[SH.XPD.CHEX.PC.CD']]]</f>
        <v>0.29515331125172212</v>
      </c>
      <c r="G619" s="4">
        <f>Table1[[#This Row],[Life expectancy at birth, total (years) '[SP.DYN.LE00.IN']]]/Table1[[#This Row],[Current health expenditure per capita (current US$) '[SH.XPD.CHEX.PC.CD']]]*1000</f>
        <v>295.15331125172213</v>
      </c>
    </row>
    <row r="620" spans="1:7" x14ac:dyDescent="0.25">
      <c r="A620" s="5" t="s">
        <v>270</v>
      </c>
      <c r="B620" s="6" t="s">
        <v>261</v>
      </c>
      <c r="C620" s="5">
        <v>2021</v>
      </c>
      <c r="D620" s="7">
        <v>228.46922301999999</v>
      </c>
      <c r="E620" s="11">
        <v>67.072000000000003</v>
      </c>
      <c r="F620" s="10">
        <f>Table1[[#This Row],[Life expectancy at birth, total (years) '[SP.DYN.LE00.IN']]]/Table1[[#This Row],[Current health expenditure per capita (current US$) '[SH.XPD.CHEX.PC.CD']]]</f>
        <v>0.29357127018429341</v>
      </c>
      <c r="G620" s="4">
        <f>Table1[[#This Row],[Life expectancy at birth, total (years) '[SP.DYN.LE00.IN']]]/Table1[[#This Row],[Current health expenditure per capita (current US$) '[SH.XPD.CHEX.PC.CD']]]*1000</f>
        <v>293.57127018429338</v>
      </c>
    </row>
    <row r="621" spans="1:7" x14ac:dyDescent="0.25">
      <c r="A621" s="5" t="s">
        <v>270</v>
      </c>
      <c r="B621" s="6" t="s">
        <v>261</v>
      </c>
      <c r="C621" s="5">
        <v>2022</v>
      </c>
      <c r="D621" s="7">
        <v>243.09941101000001</v>
      </c>
      <c r="E621" s="11">
        <v>67.712999999999994</v>
      </c>
      <c r="F621" s="10">
        <f>Table1[[#This Row],[Life expectancy at birth, total (years) '[SP.DYN.LE00.IN']]]/Table1[[#This Row],[Current health expenditure per capita (current US$) '[SH.XPD.CHEX.PC.CD']]]</f>
        <v>0.2785403704545158</v>
      </c>
      <c r="G621" s="4">
        <f>Table1[[#This Row],[Life expectancy at birth, total (years) '[SP.DYN.LE00.IN']]]/Table1[[#This Row],[Current health expenditure per capita (current US$) '[SH.XPD.CHEX.PC.CD']]]*1000</f>
        <v>278.54037045451582</v>
      </c>
    </row>
    <row r="622" spans="1:7" x14ac:dyDescent="0.25">
      <c r="A622" s="5" t="s">
        <v>270</v>
      </c>
      <c r="B622" s="6" t="s">
        <v>261</v>
      </c>
      <c r="C622" s="5">
        <v>2023</v>
      </c>
      <c r="D622" s="7">
        <v>252.98246764999999</v>
      </c>
      <c r="E622" s="11">
        <v>68.337000000000003</v>
      </c>
      <c r="F622" s="10">
        <f>Table1[[#This Row],[Life expectancy at birth, total (years) '[SP.DYN.LE00.IN']]]/Table1[[#This Row],[Current health expenditure per capita (current US$) '[SH.XPD.CHEX.PC.CD']]]</f>
        <v>0.27012543847324594</v>
      </c>
      <c r="G622" s="4">
        <f>Table1[[#This Row],[Life expectancy at birth, total (years) '[SP.DYN.LE00.IN']]]/Table1[[#This Row],[Current health expenditure per capita (current US$) '[SH.XPD.CHEX.PC.CD']]]*1000</f>
        <v>270.12543847324594</v>
      </c>
    </row>
    <row r="623" spans="1:7" hidden="1" x14ac:dyDescent="0.25">
      <c r="B623" s="1"/>
      <c r="D623" s="3"/>
      <c r="E623"/>
      <c r="F623" t="e">
        <f>Table1[[#This Row],[Life expectancy at birth, total (years) '[SP.DYN.LE00.IN']]]/Table1[[#This Row],[Current health expenditure per capita (current US$) '[SH.XPD.CHEX.PC.CD']]]</f>
        <v>#DIV/0!</v>
      </c>
      <c r="G623" s="2" t="e">
        <f>Table1[[#This Row],[Life expectancy at birth, total (years) '[SP.DYN.LE00.IN']]]/Table1[[#This Row],[Current health expenditure per capita (current US$) '[SH.XPD.CHEX.PC.CD']]]*1000</f>
        <v>#DIV/0!</v>
      </c>
    </row>
    <row r="624" spans="1:7" x14ac:dyDescent="0.25">
      <c r="A624" s="5" t="s">
        <v>214</v>
      </c>
      <c r="B624" s="6" t="s">
        <v>402</v>
      </c>
      <c r="C624" s="5">
        <v>2015</v>
      </c>
      <c r="D624" s="7">
        <v>19.677255630000001</v>
      </c>
      <c r="E624" s="11">
        <v>62.970999999999997</v>
      </c>
      <c r="F624" s="10">
        <f>Table1[[#This Row],[Life expectancy at birth, total (years) '[SP.DYN.LE00.IN']]]/Table1[[#This Row],[Current health expenditure per capita (current US$) '[SH.XPD.CHEX.PC.CD']]]</f>
        <v>3.2001922007860806</v>
      </c>
      <c r="G624" s="4">
        <f>Table1[[#This Row],[Life expectancy at birth, total (years) '[SP.DYN.LE00.IN']]]/Table1[[#This Row],[Current health expenditure per capita (current US$) '[SH.XPD.CHEX.PC.CD']]]*1000</f>
        <v>3200.1922007860808</v>
      </c>
    </row>
    <row r="625" spans="1:7" x14ac:dyDescent="0.25">
      <c r="A625" s="5" t="s">
        <v>214</v>
      </c>
      <c r="B625" s="6" t="s">
        <v>402</v>
      </c>
      <c r="C625" s="5">
        <v>2016</v>
      </c>
      <c r="D625" s="7">
        <v>20.770860670000001</v>
      </c>
      <c r="E625" s="11">
        <v>63.386000000000003</v>
      </c>
      <c r="F625" s="10">
        <f>Table1[[#This Row],[Life expectancy at birth, total (years) '[SP.DYN.LE00.IN']]]/Table1[[#This Row],[Current health expenditure per capita (current US$) '[SH.XPD.CHEX.PC.CD']]]</f>
        <v>3.0516790328072623</v>
      </c>
      <c r="G625" s="4">
        <f>Table1[[#This Row],[Life expectancy at birth, total (years) '[SP.DYN.LE00.IN']]]/Table1[[#This Row],[Current health expenditure per capita (current US$) '[SH.XPD.CHEX.PC.CD']]]*1000</f>
        <v>3051.679032807262</v>
      </c>
    </row>
    <row r="626" spans="1:7" x14ac:dyDescent="0.25">
      <c r="A626" s="5" t="s">
        <v>214</v>
      </c>
      <c r="B626" s="6" t="s">
        <v>402</v>
      </c>
      <c r="C626" s="5">
        <v>2017</v>
      </c>
      <c r="D626" s="7">
        <v>21.553316120000002</v>
      </c>
      <c r="E626" s="11">
        <v>63.707999999999998</v>
      </c>
      <c r="F626" s="10">
        <f>Table1[[#This Row],[Life expectancy at birth, total (years) '[SP.DYN.LE00.IN']]]/Table1[[#This Row],[Current health expenditure per capita (current US$) '[SH.XPD.CHEX.PC.CD']]]</f>
        <v>2.9558328586329847</v>
      </c>
      <c r="G626" s="4">
        <f>Table1[[#This Row],[Life expectancy at birth, total (years) '[SP.DYN.LE00.IN']]]/Table1[[#This Row],[Current health expenditure per capita (current US$) '[SH.XPD.CHEX.PC.CD']]]*1000</f>
        <v>2955.8328586329849</v>
      </c>
    </row>
    <row r="627" spans="1:7" x14ac:dyDescent="0.25">
      <c r="A627" s="5" t="s">
        <v>214</v>
      </c>
      <c r="B627" s="6" t="s">
        <v>402</v>
      </c>
      <c r="C627" s="5">
        <v>2018</v>
      </c>
      <c r="D627" s="7">
        <v>22.17474365</v>
      </c>
      <c r="E627" s="11">
        <v>64.034000000000006</v>
      </c>
      <c r="F627" s="10">
        <f>Table1[[#This Row],[Life expectancy at birth, total (years) '[SP.DYN.LE00.IN']]]/Table1[[#This Row],[Current health expenditure per capita (current US$) '[SH.XPD.CHEX.PC.CD']]]</f>
        <v>2.8876996735878842</v>
      </c>
      <c r="G627" s="4">
        <f>Table1[[#This Row],[Life expectancy at birth, total (years) '[SP.DYN.LE00.IN']]]/Table1[[#This Row],[Current health expenditure per capita (current US$) '[SH.XPD.CHEX.PC.CD']]]*1000</f>
        <v>2887.6996735878843</v>
      </c>
    </row>
    <row r="628" spans="1:7" x14ac:dyDescent="0.25">
      <c r="A628" s="5" t="s">
        <v>214</v>
      </c>
      <c r="B628" s="6" t="s">
        <v>402</v>
      </c>
      <c r="C628" s="5">
        <v>2019</v>
      </c>
      <c r="D628" s="7">
        <v>23.218612669999999</v>
      </c>
      <c r="E628" s="11">
        <v>64.427000000000007</v>
      </c>
      <c r="F628" s="10">
        <f>Table1[[#This Row],[Life expectancy at birth, total (years) '[SP.DYN.LE00.IN']]]/Table1[[#This Row],[Current health expenditure per capita (current US$) '[SH.XPD.CHEX.PC.CD']]]</f>
        <v>2.7747997227777526</v>
      </c>
      <c r="G628" s="4">
        <f>Table1[[#This Row],[Life expectancy at birth, total (years) '[SP.DYN.LE00.IN']]]/Table1[[#This Row],[Current health expenditure per capita (current US$) '[SH.XPD.CHEX.PC.CD']]]*1000</f>
        <v>2774.7997227777528</v>
      </c>
    </row>
    <row r="629" spans="1:7" x14ac:dyDescent="0.25">
      <c r="A629" s="5" t="s">
        <v>214</v>
      </c>
      <c r="B629" s="6" t="s">
        <v>402</v>
      </c>
      <c r="C629" s="5">
        <v>2020</v>
      </c>
      <c r="D629" s="7">
        <v>28.916969300000002</v>
      </c>
      <c r="E629" s="11">
        <v>64.418000000000006</v>
      </c>
      <c r="F629" s="10">
        <f>Table1[[#This Row],[Life expectancy at birth, total (years) '[SP.DYN.LE00.IN']]]/Table1[[#This Row],[Current health expenditure per capita (current US$) '[SH.XPD.CHEX.PC.CD']]]</f>
        <v>2.2276885012289309</v>
      </c>
      <c r="G629" s="4">
        <f>Table1[[#This Row],[Life expectancy at birth, total (years) '[SP.DYN.LE00.IN']]]/Table1[[#This Row],[Current health expenditure per capita (current US$) '[SH.XPD.CHEX.PC.CD']]]*1000</f>
        <v>2227.6885012289308</v>
      </c>
    </row>
    <row r="630" spans="1:7" x14ac:dyDescent="0.25">
      <c r="A630" s="5" t="s">
        <v>214</v>
      </c>
      <c r="B630" s="6" t="s">
        <v>402</v>
      </c>
      <c r="C630" s="5">
        <v>2021</v>
      </c>
      <c r="D630" s="7">
        <v>29.77283478</v>
      </c>
      <c r="E630" s="11">
        <v>63.847000000000001</v>
      </c>
      <c r="F630" s="10">
        <f>Table1[[#This Row],[Life expectancy at birth, total (years) '[SP.DYN.LE00.IN']]]/Table1[[#This Row],[Current health expenditure per capita (current US$) '[SH.XPD.CHEX.PC.CD']]]</f>
        <v>2.1444716457731943</v>
      </c>
      <c r="G630" s="4">
        <f>Table1[[#This Row],[Life expectancy at birth, total (years) '[SP.DYN.LE00.IN']]]/Table1[[#This Row],[Current health expenditure per capita (current US$) '[SH.XPD.CHEX.PC.CD']]]*1000</f>
        <v>2144.4716457731943</v>
      </c>
    </row>
    <row r="631" spans="1:7" x14ac:dyDescent="0.25">
      <c r="A631" s="5" t="s">
        <v>214</v>
      </c>
      <c r="B631" s="6" t="s">
        <v>402</v>
      </c>
      <c r="C631" s="5">
        <v>2022</v>
      </c>
      <c r="D631" s="7">
        <v>29.578117370000001</v>
      </c>
      <c r="E631" s="11">
        <v>64.858999999999995</v>
      </c>
      <c r="F631" s="10">
        <f>Table1[[#This Row],[Life expectancy at birth, total (years) '[SP.DYN.LE00.IN']]]/Table1[[#This Row],[Current health expenditure per capita (current US$) '[SH.XPD.CHEX.PC.CD']]]</f>
        <v>2.1928035239248898</v>
      </c>
      <c r="G631" s="4">
        <f>Table1[[#This Row],[Life expectancy at birth, total (years) '[SP.DYN.LE00.IN']]]/Table1[[#This Row],[Current health expenditure per capita (current US$) '[SH.XPD.CHEX.PC.CD']]]*1000</f>
        <v>2192.8035239248898</v>
      </c>
    </row>
    <row r="632" spans="1:7" x14ac:dyDescent="0.25">
      <c r="A632" s="5" t="s">
        <v>214</v>
      </c>
      <c r="B632" s="6" t="s">
        <v>402</v>
      </c>
      <c r="C632" s="5">
        <v>2023</v>
      </c>
      <c r="D632" s="7">
        <v>25.74407768</v>
      </c>
      <c r="E632" s="11">
        <v>65.86</v>
      </c>
      <c r="F632" s="10">
        <f>Table1[[#This Row],[Life expectancy at birth, total (years) '[SP.DYN.LE00.IN']]]/Table1[[#This Row],[Current health expenditure per capita (current US$) '[SH.XPD.CHEX.PC.CD']]]</f>
        <v>2.558258284435071</v>
      </c>
      <c r="G632" s="4">
        <f>Table1[[#This Row],[Life expectancy at birth, total (years) '[SP.DYN.LE00.IN']]]/Table1[[#This Row],[Current health expenditure per capita (current US$) '[SH.XPD.CHEX.PC.CD']]]*1000</f>
        <v>2558.2582844350709</v>
      </c>
    </row>
    <row r="633" spans="1:7" hidden="1" x14ac:dyDescent="0.25">
      <c r="B633" s="1"/>
      <c r="D633" s="3"/>
      <c r="E633"/>
      <c r="F633" t="e">
        <f>Table1[[#This Row],[Life expectancy at birth, total (years) '[SP.DYN.LE00.IN']]]/Table1[[#This Row],[Current health expenditure per capita (current US$) '[SH.XPD.CHEX.PC.CD']]]</f>
        <v>#DIV/0!</v>
      </c>
      <c r="G633" s="2" t="e">
        <f>Table1[[#This Row],[Life expectancy at birth, total (years) '[SP.DYN.LE00.IN']]]/Table1[[#This Row],[Current health expenditure per capita (current US$) '[SH.XPD.CHEX.PC.CD']]]*1000</f>
        <v>#DIV/0!</v>
      </c>
    </row>
    <row r="634" spans="1:7" x14ac:dyDescent="0.25">
      <c r="A634" s="5" t="s">
        <v>164</v>
      </c>
      <c r="B634" s="6" t="s">
        <v>175</v>
      </c>
      <c r="C634" s="5">
        <v>2015</v>
      </c>
      <c r="D634" s="7">
        <v>347.71783447000001</v>
      </c>
      <c r="E634" s="11">
        <v>73.241</v>
      </c>
      <c r="F634" s="10">
        <f>Table1[[#This Row],[Life expectancy at birth, total (years) '[SP.DYN.LE00.IN']]]/Table1[[#This Row],[Current health expenditure per capita (current US$) '[SH.XPD.CHEX.PC.CD']]]</f>
        <v>0.21063342957842734</v>
      </c>
      <c r="G634" s="4">
        <f>Table1[[#This Row],[Life expectancy at birth, total (years) '[SP.DYN.LE00.IN']]]/Table1[[#This Row],[Current health expenditure per capita (current US$) '[SH.XPD.CHEX.PC.CD']]]*1000</f>
        <v>210.63342957842735</v>
      </c>
    </row>
    <row r="635" spans="1:7" x14ac:dyDescent="0.25">
      <c r="A635" s="5" t="s">
        <v>164</v>
      </c>
      <c r="B635" s="6" t="s">
        <v>175</v>
      </c>
      <c r="C635" s="5">
        <v>2016</v>
      </c>
      <c r="D635" s="7">
        <v>369.51849364999998</v>
      </c>
      <c r="E635" s="11">
        <v>73.135999999999996</v>
      </c>
      <c r="F635" s="10">
        <f>Table1[[#This Row],[Life expectancy at birth, total (years) '[SP.DYN.LE00.IN']]]/Table1[[#This Row],[Current health expenditure per capita (current US$) '[SH.XPD.CHEX.PC.CD']]]</f>
        <v>0.19792243488974831</v>
      </c>
      <c r="G635" s="4">
        <f>Table1[[#This Row],[Life expectancy at birth, total (years) '[SP.DYN.LE00.IN']]]/Table1[[#This Row],[Current health expenditure per capita (current US$) '[SH.XPD.CHEX.PC.CD']]]*1000</f>
        <v>197.9224348897483</v>
      </c>
    </row>
    <row r="636" spans="1:7" x14ac:dyDescent="0.25">
      <c r="A636" s="5" t="s">
        <v>164</v>
      </c>
      <c r="B636" s="6" t="s">
        <v>175</v>
      </c>
      <c r="C636" s="5">
        <v>2017</v>
      </c>
      <c r="D636" s="7">
        <v>377.92520142000001</v>
      </c>
      <c r="E636" s="11">
        <v>73.435000000000002</v>
      </c>
      <c r="F636" s="10">
        <f>Table1[[#This Row],[Life expectancy at birth, total (years) '[SP.DYN.LE00.IN']]]/Table1[[#This Row],[Current health expenditure per capita (current US$) '[SH.XPD.CHEX.PC.CD']]]</f>
        <v>0.19431093698985533</v>
      </c>
      <c r="G636" s="4">
        <f>Table1[[#This Row],[Life expectancy at birth, total (years) '[SP.DYN.LE00.IN']]]/Table1[[#This Row],[Current health expenditure per capita (current US$) '[SH.XPD.CHEX.PC.CD']]]*1000</f>
        <v>194.31093698985532</v>
      </c>
    </row>
    <row r="637" spans="1:7" x14ac:dyDescent="0.25">
      <c r="A637" s="5" t="s">
        <v>164</v>
      </c>
      <c r="B637" s="6" t="s">
        <v>175</v>
      </c>
      <c r="C637" s="5">
        <v>2018</v>
      </c>
      <c r="D637" s="7">
        <v>365.91583251999998</v>
      </c>
      <c r="E637" s="11">
        <v>73.984999999999999</v>
      </c>
      <c r="F637" s="10">
        <f>Table1[[#This Row],[Life expectancy at birth, total (years) '[SP.DYN.LE00.IN']]]/Table1[[#This Row],[Current health expenditure per capita (current US$) '[SH.XPD.CHEX.PC.CD']]]</f>
        <v>0.20219130582702013</v>
      </c>
      <c r="G637" s="4">
        <f>Table1[[#This Row],[Life expectancy at birth, total (years) '[SP.DYN.LE00.IN']]]/Table1[[#This Row],[Current health expenditure per capita (current US$) '[SH.XPD.CHEX.PC.CD']]]*1000</f>
        <v>202.19130582702013</v>
      </c>
    </row>
    <row r="638" spans="1:7" x14ac:dyDescent="0.25">
      <c r="A638" s="5" t="s">
        <v>164</v>
      </c>
      <c r="B638" s="6" t="s">
        <v>175</v>
      </c>
      <c r="C638" s="5">
        <v>2019</v>
      </c>
      <c r="D638" s="7">
        <v>339.86679077000002</v>
      </c>
      <c r="E638" s="11">
        <v>74.165000000000006</v>
      </c>
      <c r="F638" s="10">
        <f>Table1[[#This Row],[Life expectancy at birth, total (years) '[SP.DYN.LE00.IN']]]/Table1[[#This Row],[Current health expenditure per capita (current US$) '[SH.XPD.CHEX.PC.CD']]]</f>
        <v>0.21821784891654833</v>
      </c>
      <c r="G638" s="4">
        <f>Table1[[#This Row],[Life expectancy at birth, total (years) '[SP.DYN.LE00.IN']]]/Table1[[#This Row],[Current health expenditure per capita (current US$) '[SH.XPD.CHEX.PC.CD']]]*1000</f>
        <v>218.21784891654832</v>
      </c>
    </row>
    <row r="639" spans="1:7" x14ac:dyDescent="0.25">
      <c r="A639" s="5" t="s">
        <v>164</v>
      </c>
      <c r="B639" s="6" t="s">
        <v>175</v>
      </c>
      <c r="C639" s="5">
        <v>2020</v>
      </c>
      <c r="D639" s="7">
        <v>389.42260742000002</v>
      </c>
      <c r="E639" s="11">
        <v>73.509</v>
      </c>
      <c r="F639" s="10">
        <f>Table1[[#This Row],[Life expectancy at birth, total (years) '[SP.DYN.LE00.IN']]]/Table1[[#This Row],[Current health expenditure per capita (current US$) '[SH.XPD.CHEX.PC.CD']]]</f>
        <v>0.18876407943291049</v>
      </c>
      <c r="G639" s="4">
        <f>Table1[[#This Row],[Life expectancy at birth, total (years) '[SP.DYN.LE00.IN']]]/Table1[[#This Row],[Current health expenditure per capita (current US$) '[SH.XPD.CHEX.PC.CD']]]*1000</f>
        <v>188.76407943291048</v>
      </c>
    </row>
    <row r="640" spans="1:7" x14ac:dyDescent="0.25">
      <c r="A640" s="5" t="s">
        <v>164</v>
      </c>
      <c r="B640" s="6" t="s">
        <v>175</v>
      </c>
      <c r="C640" s="5">
        <v>2021</v>
      </c>
      <c r="D640" s="7">
        <v>524.32415771000001</v>
      </c>
      <c r="E640" s="11">
        <v>71.635000000000005</v>
      </c>
      <c r="F640" s="10">
        <f>Table1[[#This Row],[Life expectancy at birth, total (years) '[SP.DYN.LE00.IN']]]/Table1[[#This Row],[Current health expenditure per capita (current US$) '[SH.XPD.CHEX.PC.CD']]]</f>
        <v>0.13662349702303975</v>
      </c>
      <c r="G640" s="4">
        <f>Table1[[#This Row],[Life expectancy at birth, total (years) '[SP.DYN.LE00.IN']]]/Table1[[#This Row],[Current health expenditure per capita (current US$) '[SH.XPD.CHEX.PC.CD']]]*1000</f>
        <v>136.62349702303976</v>
      </c>
    </row>
    <row r="641" spans="1:7" x14ac:dyDescent="0.25">
      <c r="A641" s="5" t="s">
        <v>164</v>
      </c>
      <c r="B641" s="6" t="s">
        <v>175</v>
      </c>
      <c r="C641" s="5">
        <v>2022</v>
      </c>
      <c r="D641" s="7">
        <v>546.22503661999997</v>
      </c>
      <c r="E641" s="11">
        <v>74.141000000000005</v>
      </c>
      <c r="F641" s="10">
        <f>Table1[[#This Row],[Life expectancy at birth, total (years) '[SP.DYN.LE00.IN']]]/Table1[[#This Row],[Current health expenditure per capita (current US$) '[SH.XPD.CHEX.PC.CD']]]</f>
        <v>0.13573343407834071</v>
      </c>
      <c r="G641" s="4">
        <f>Table1[[#This Row],[Life expectancy at birth, total (years) '[SP.DYN.LE00.IN']]]/Table1[[#This Row],[Current health expenditure per capita (current US$) '[SH.XPD.CHEX.PC.CD']]]*1000</f>
        <v>135.73343407834071</v>
      </c>
    </row>
    <row r="642" spans="1:7" x14ac:dyDescent="0.25">
      <c r="A642" s="5" t="s">
        <v>164</v>
      </c>
      <c r="B642" s="6" t="s">
        <v>175</v>
      </c>
      <c r="C642" s="5">
        <v>2023</v>
      </c>
      <c r="D642" s="7">
        <v>554.32482909999999</v>
      </c>
      <c r="E642" s="11">
        <v>74.495999999999995</v>
      </c>
      <c r="F642" s="10">
        <f>Table1[[#This Row],[Life expectancy at birth, total (years) '[SP.DYN.LE00.IN']]]/Table1[[#This Row],[Current health expenditure per capita (current US$) '[SH.XPD.CHEX.PC.CD']]]</f>
        <v>0.13439051633489241</v>
      </c>
      <c r="G642" s="4">
        <f>Table1[[#This Row],[Life expectancy at birth, total (years) '[SP.DYN.LE00.IN']]]/Table1[[#This Row],[Current health expenditure per capita (current US$) '[SH.XPD.CHEX.PC.CD']]]*1000</f>
        <v>134.3905163348924</v>
      </c>
    </row>
    <row r="643" spans="1:7" hidden="1" x14ac:dyDescent="0.25">
      <c r="B643" s="1"/>
      <c r="D643" s="3"/>
      <c r="E643"/>
      <c r="F643" t="e">
        <f>Table1[[#This Row],[Life expectancy at birth, total (years) '[SP.DYN.LE00.IN']]]/Table1[[#This Row],[Current health expenditure per capita (current US$) '[SH.XPD.CHEX.PC.CD']]]</f>
        <v>#DIV/0!</v>
      </c>
      <c r="G643" s="2" t="e">
        <f>Table1[[#This Row],[Life expectancy at birth, total (years) '[SP.DYN.LE00.IN']]]/Table1[[#This Row],[Current health expenditure per capita (current US$) '[SH.XPD.CHEX.PC.CD']]]*1000</f>
        <v>#DIV/0!</v>
      </c>
    </row>
    <row r="644" spans="1:7" x14ac:dyDescent="0.25">
      <c r="A644" s="5" t="s">
        <v>7</v>
      </c>
      <c r="B644" s="6" t="s">
        <v>42</v>
      </c>
      <c r="C644" s="5">
        <v>2015</v>
      </c>
      <c r="D644" s="7">
        <v>4605.5903320300004</v>
      </c>
      <c r="E644" s="11">
        <v>80.641463414634146</v>
      </c>
      <c r="F644" s="10">
        <f>Table1[[#This Row],[Life expectancy at birth, total (years) '[SP.DYN.LE00.IN']]]/Table1[[#This Row],[Current health expenditure per capita (current US$) '[SH.XPD.CHEX.PC.CD']]]</f>
        <v>1.7509473835266173E-2</v>
      </c>
      <c r="G644" s="4">
        <f>Table1[[#This Row],[Life expectancy at birth, total (years) '[SP.DYN.LE00.IN']]]/Table1[[#This Row],[Current health expenditure per capita (current US$) '[SH.XPD.CHEX.PC.CD']]]*1000</f>
        <v>17.509473835266174</v>
      </c>
    </row>
    <row r="645" spans="1:7" x14ac:dyDescent="0.25">
      <c r="A645" s="5" t="s">
        <v>7</v>
      </c>
      <c r="B645" s="6" t="s">
        <v>42</v>
      </c>
      <c r="C645" s="5">
        <v>2016</v>
      </c>
      <c r="D645" s="7">
        <v>4723.32421875</v>
      </c>
      <c r="E645" s="11">
        <v>80.990243902439033</v>
      </c>
      <c r="F645" s="10">
        <f>Table1[[#This Row],[Life expectancy at birth, total (years) '[SP.DYN.LE00.IN']]]/Table1[[#This Row],[Current health expenditure per capita (current US$) '[SH.XPD.CHEX.PC.CD']]]</f>
        <v>1.7146873716806302E-2</v>
      </c>
      <c r="G645" s="4">
        <f>Table1[[#This Row],[Life expectancy at birth, total (years) '[SP.DYN.LE00.IN']]]/Table1[[#This Row],[Current health expenditure per capita (current US$) '[SH.XPD.CHEX.PC.CD']]]*1000</f>
        <v>17.146873716806301</v>
      </c>
    </row>
    <row r="646" spans="1:7" x14ac:dyDescent="0.25">
      <c r="A646" s="5" t="s">
        <v>7</v>
      </c>
      <c r="B646" s="6" t="s">
        <v>42</v>
      </c>
      <c r="C646" s="5">
        <v>2017</v>
      </c>
      <c r="D646" s="7">
        <v>5039.3530273400002</v>
      </c>
      <c r="E646" s="11">
        <v>80.992682926829289</v>
      </c>
      <c r="F646" s="10">
        <f>Table1[[#This Row],[Life expectancy at birth, total (years) '[SP.DYN.LE00.IN']]]/Table1[[#This Row],[Current health expenditure per capita (current US$) '[SH.XPD.CHEX.PC.CD']]]</f>
        <v>1.6072039900245073E-2</v>
      </c>
      <c r="G646" s="4">
        <f>Table1[[#This Row],[Life expectancy at birth, total (years) '[SP.DYN.LE00.IN']]]/Table1[[#This Row],[Current health expenditure per capita (current US$) '[SH.XPD.CHEX.PC.CD']]]*1000</f>
        <v>16.072039900245073</v>
      </c>
    </row>
    <row r="647" spans="1:7" x14ac:dyDescent="0.25">
      <c r="A647" s="5" t="s">
        <v>7</v>
      </c>
      <c r="B647" s="6" t="s">
        <v>42</v>
      </c>
      <c r="C647" s="5">
        <v>2018</v>
      </c>
      <c r="D647" s="7">
        <v>5473.5571289099998</v>
      </c>
      <c r="E647" s="11">
        <v>80.892682926829266</v>
      </c>
      <c r="F647" s="10">
        <f>Table1[[#This Row],[Life expectancy at birth, total (years) '[SP.DYN.LE00.IN']]]/Table1[[#This Row],[Current health expenditure per capita (current US$) '[SH.XPD.CHEX.PC.CD']]]</f>
        <v>1.4778814036593087E-2</v>
      </c>
      <c r="G647" s="4">
        <f>Table1[[#This Row],[Life expectancy at birth, total (years) '[SP.DYN.LE00.IN']]]/Table1[[#This Row],[Current health expenditure per capita (current US$) '[SH.XPD.CHEX.PC.CD']]]*1000</f>
        <v>14.778814036593088</v>
      </c>
    </row>
    <row r="648" spans="1:7" x14ac:dyDescent="0.25">
      <c r="A648" s="5" t="s">
        <v>7</v>
      </c>
      <c r="B648" s="6" t="s">
        <v>42</v>
      </c>
      <c r="C648" s="5">
        <v>2019</v>
      </c>
      <c r="D648" s="7">
        <v>5447.3178710900002</v>
      </c>
      <c r="E648" s="11">
        <v>81.292682926829272</v>
      </c>
      <c r="F648" s="10">
        <f>Table1[[#This Row],[Life expectancy at birth, total (years) '[SP.DYN.LE00.IN']]]/Table1[[#This Row],[Current health expenditure per capita (current US$) '[SH.XPD.CHEX.PC.CD']]]</f>
        <v>1.4923432935365442E-2</v>
      </c>
      <c r="G648" s="4">
        <f>Table1[[#This Row],[Life expectancy at birth, total (years) '[SP.DYN.LE00.IN']]]/Table1[[#This Row],[Current health expenditure per capita (current US$) '[SH.XPD.CHEX.PC.CD']]]*1000</f>
        <v>14.923432935365442</v>
      </c>
    </row>
    <row r="649" spans="1:7" x14ac:dyDescent="0.25">
      <c r="A649" s="5" t="s">
        <v>7</v>
      </c>
      <c r="B649" s="6" t="s">
        <v>42</v>
      </c>
      <c r="C649" s="5">
        <v>2020</v>
      </c>
      <c r="D649" s="7">
        <v>5906.8061523400002</v>
      </c>
      <c r="E649" s="11">
        <v>81.041463414634151</v>
      </c>
      <c r="F649" s="10">
        <f>Table1[[#This Row],[Life expectancy at birth, total (years) '[SP.DYN.LE00.IN']]]/Table1[[#This Row],[Current health expenditure per capita (current US$) '[SH.XPD.CHEX.PC.CD']]]</f>
        <v>1.3720014052353711E-2</v>
      </c>
      <c r="G649" s="4">
        <f>Table1[[#This Row],[Life expectancy at birth, total (years) '[SP.DYN.LE00.IN']]]/Table1[[#This Row],[Current health expenditure per capita (current US$) '[SH.XPD.CHEX.PC.CD']]]*1000</f>
        <v>13.720014052353712</v>
      </c>
    </row>
    <row r="650" spans="1:7" x14ac:dyDescent="0.25">
      <c r="A650" s="5" t="s">
        <v>7</v>
      </c>
      <c r="B650" s="6" t="s">
        <v>42</v>
      </c>
      <c r="C650" s="5">
        <v>2021</v>
      </c>
      <c r="D650" s="7">
        <v>6653.5834960900002</v>
      </c>
      <c r="E650" s="11">
        <v>80.79024390243903</v>
      </c>
      <c r="F650" s="10">
        <f>Table1[[#This Row],[Life expectancy at birth, total (years) '[SP.DYN.LE00.IN']]]/Table1[[#This Row],[Current health expenditure per capita (current US$) '[SH.XPD.CHEX.PC.CD']]]</f>
        <v>1.2142365681578306E-2</v>
      </c>
      <c r="G650" s="4">
        <f>Table1[[#This Row],[Life expectancy at birth, total (years) '[SP.DYN.LE00.IN']]]/Table1[[#This Row],[Current health expenditure per capita (current US$) '[SH.XPD.CHEX.PC.CD']]]*1000</f>
        <v>12.142365681578307</v>
      </c>
    </row>
    <row r="651" spans="1:7" x14ac:dyDescent="0.25">
      <c r="A651" s="5" t="s">
        <v>7</v>
      </c>
      <c r="B651" s="6" t="s">
        <v>42</v>
      </c>
      <c r="C651" s="5">
        <v>2022</v>
      </c>
      <c r="D651" s="7">
        <v>6226.1420898400002</v>
      </c>
      <c r="E651" s="11">
        <v>80.608048780487806</v>
      </c>
      <c r="F651" s="10">
        <f>Table1[[#This Row],[Life expectancy at birth, total (years) '[SP.DYN.LE00.IN']]]/Table1[[#This Row],[Current health expenditure per capita (current US$) '[SH.XPD.CHEX.PC.CD']]]</f>
        <v>1.2946708831465053E-2</v>
      </c>
      <c r="G651" s="4">
        <f>Table1[[#This Row],[Life expectancy at birth, total (years) '[SP.DYN.LE00.IN']]]/Table1[[#This Row],[Current health expenditure per capita (current US$) '[SH.XPD.CHEX.PC.CD']]]*1000</f>
        <v>12.946708831465052</v>
      </c>
    </row>
    <row r="652" spans="1:7" x14ac:dyDescent="0.25">
      <c r="A652" s="5" t="s">
        <v>7</v>
      </c>
      <c r="B652" s="6" t="s">
        <v>42</v>
      </c>
      <c r="C652" s="5">
        <v>2023</v>
      </c>
      <c r="D652" s="7">
        <v>6394.6225585900002</v>
      </c>
      <c r="E652" s="11">
        <v>80.541463414634165</v>
      </c>
      <c r="F652" s="10">
        <f>Table1[[#This Row],[Life expectancy at birth, total (years) '[SP.DYN.LE00.IN']]]/Table1[[#This Row],[Current health expenditure per capita (current US$) '[SH.XPD.CHEX.PC.CD']]]</f>
        <v>1.2595186451847968E-2</v>
      </c>
      <c r="G652" s="4">
        <f>Table1[[#This Row],[Life expectancy at birth, total (years) '[SP.DYN.LE00.IN']]]/Table1[[#This Row],[Current health expenditure per capita (current US$) '[SH.XPD.CHEX.PC.CD']]]*1000</f>
        <v>12.595186451847969</v>
      </c>
    </row>
    <row r="653" spans="1:7" hidden="1" x14ac:dyDescent="0.25">
      <c r="B653" s="1"/>
      <c r="D653" s="3"/>
      <c r="E653"/>
      <c r="F653" t="e">
        <f>Table1[[#This Row],[Life expectancy at birth, total (years) '[SP.DYN.LE00.IN']]]/Table1[[#This Row],[Current health expenditure per capita (current US$) '[SH.XPD.CHEX.PC.CD']]]</f>
        <v>#DIV/0!</v>
      </c>
      <c r="G653" s="2" t="e">
        <f>Table1[[#This Row],[Life expectancy at birth, total (years) '[SP.DYN.LE00.IN']]]/Table1[[#This Row],[Current health expenditure per capita (current US$) '[SH.XPD.CHEX.PC.CD']]]*1000</f>
        <v>#DIV/0!</v>
      </c>
    </row>
    <row r="654" spans="1:7" x14ac:dyDescent="0.25">
      <c r="A654" s="5" t="s">
        <v>220</v>
      </c>
      <c r="B654" s="6" t="s">
        <v>230</v>
      </c>
      <c r="C654" s="5">
        <v>2015</v>
      </c>
      <c r="D654" s="7">
        <v>78.21643066</v>
      </c>
      <c r="E654" s="11">
        <v>63.174999999999997</v>
      </c>
      <c r="F654" s="10">
        <f>Table1[[#This Row],[Life expectancy at birth, total (years) '[SP.DYN.LE00.IN']]]/Table1[[#This Row],[Current health expenditure per capita (current US$) '[SH.XPD.CHEX.PC.CD']]]</f>
        <v>0.80769474478599268</v>
      </c>
      <c r="G654" s="4">
        <f>Table1[[#This Row],[Life expectancy at birth, total (years) '[SP.DYN.LE00.IN']]]/Table1[[#This Row],[Current health expenditure per capita (current US$) '[SH.XPD.CHEX.PC.CD']]]*1000</f>
        <v>807.69474478599273</v>
      </c>
    </row>
    <row r="655" spans="1:7" x14ac:dyDescent="0.25">
      <c r="A655" s="5" t="s">
        <v>220</v>
      </c>
      <c r="B655" s="6" t="s">
        <v>230</v>
      </c>
      <c r="C655" s="5">
        <v>2016</v>
      </c>
      <c r="D655" s="7">
        <v>64.864006040000007</v>
      </c>
      <c r="E655" s="11">
        <v>63.521999999999998</v>
      </c>
      <c r="F655" s="10">
        <f>Table1[[#This Row],[Life expectancy at birth, total (years) '[SP.DYN.LE00.IN']]]/Table1[[#This Row],[Current health expenditure per capita (current US$) '[SH.XPD.CHEX.PC.CD']]]</f>
        <v>0.97931046628275742</v>
      </c>
      <c r="G655" s="4">
        <f>Table1[[#This Row],[Life expectancy at birth, total (years) '[SP.DYN.LE00.IN']]]/Table1[[#This Row],[Current health expenditure per capita (current US$) '[SH.XPD.CHEX.PC.CD']]]*1000</f>
        <v>979.31046628275737</v>
      </c>
    </row>
    <row r="656" spans="1:7" x14ac:dyDescent="0.25">
      <c r="A656" s="5" t="s">
        <v>220</v>
      </c>
      <c r="B656" s="6" t="s">
        <v>230</v>
      </c>
      <c r="C656" s="5">
        <v>2017</v>
      </c>
      <c r="D656" s="7">
        <v>54.10602188</v>
      </c>
      <c r="E656" s="11">
        <v>63.829000000000001</v>
      </c>
      <c r="F656" s="10">
        <f>Table1[[#This Row],[Life expectancy at birth, total (years) '[SP.DYN.LE00.IN']]]/Table1[[#This Row],[Current health expenditure per capita (current US$) '[SH.XPD.CHEX.PC.CD']]]</f>
        <v>1.1797023285423622</v>
      </c>
      <c r="G656" s="4">
        <f>Table1[[#This Row],[Life expectancy at birth, total (years) '[SP.DYN.LE00.IN']]]/Table1[[#This Row],[Current health expenditure per capita (current US$) '[SH.XPD.CHEX.PC.CD']]]*1000</f>
        <v>1179.7023285423622</v>
      </c>
    </row>
    <row r="657" spans="1:7" x14ac:dyDescent="0.25">
      <c r="A657" s="5" t="s">
        <v>220</v>
      </c>
      <c r="B657" s="6" t="s">
        <v>230</v>
      </c>
      <c r="C657" s="5">
        <v>2018</v>
      </c>
      <c r="D657" s="7">
        <v>53.377887729999998</v>
      </c>
      <c r="E657" s="11">
        <v>64.138000000000005</v>
      </c>
      <c r="F657" s="10">
        <f>Table1[[#This Row],[Life expectancy at birth, total (years) '[SP.DYN.LE00.IN']]]/Table1[[#This Row],[Current health expenditure per capita (current US$) '[SH.XPD.CHEX.PC.CD']]]</f>
        <v>1.2015837030574834</v>
      </c>
      <c r="G657" s="4">
        <f>Table1[[#This Row],[Life expectancy at birth, total (years) '[SP.DYN.LE00.IN']]]/Table1[[#This Row],[Current health expenditure per capita (current US$) '[SH.XPD.CHEX.PC.CD']]]*1000</f>
        <v>1201.5837030574835</v>
      </c>
    </row>
    <row r="658" spans="1:7" x14ac:dyDescent="0.25">
      <c r="A658" s="5" t="s">
        <v>220</v>
      </c>
      <c r="B658" s="6" t="s">
        <v>230</v>
      </c>
      <c r="C658" s="5">
        <v>2019</v>
      </c>
      <c r="D658" s="7">
        <v>71.149581909999995</v>
      </c>
      <c r="E658" s="11">
        <v>64.454999999999998</v>
      </c>
      <c r="F658" s="10">
        <f>Table1[[#This Row],[Life expectancy at birth, total (years) '[SP.DYN.LE00.IN']]]/Table1[[#This Row],[Current health expenditure per capita (current US$) '[SH.XPD.CHEX.PC.CD']]]</f>
        <v>0.90590834506282492</v>
      </c>
      <c r="G658" s="4">
        <f>Table1[[#This Row],[Life expectancy at birth, total (years) '[SP.DYN.LE00.IN']]]/Table1[[#This Row],[Current health expenditure per capita (current US$) '[SH.XPD.CHEX.PC.CD']]]*1000</f>
        <v>905.90834506282488</v>
      </c>
    </row>
    <row r="659" spans="1:7" x14ac:dyDescent="0.25">
      <c r="A659" s="5" t="s">
        <v>220</v>
      </c>
      <c r="B659" s="6" t="s">
        <v>230</v>
      </c>
      <c r="C659" s="5">
        <v>2020</v>
      </c>
      <c r="D659" s="7">
        <v>97.376777649999994</v>
      </c>
      <c r="E659" s="11">
        <v>64.308999999999997</v>
      </c>
      <c r="F659" s="10">
        <f>Table1[[#This Row],[Life expectancy at birth, total (years) '[SP.DYN.LE00.IN']]]/Table1[[#This Row],[Current health expenditure per capita (current US$) '[SH.XPD.CHEX.PC.CD']]]</f>
        <v>0.66041413108929259</v>
      </c>
      <c r="G659" s="4">
        <f>Table1[[#This Row],[Life expectancy at birth, total (years) '[SP.DYN.LE00.IN']]]/Table1[[#This Row],[Current health expenditure per capita (current US$) '[SH.XPD.CHEX.PC.CD']]]*1000</f>
        <v>660.4141310892926</v>
      </c>
    </row>
    <row r="660" spans="1:7" x14ac:dyDescent="0.25">
      <c r="A660" s="5" t="s">
        <v>220</v>
      </c>
      <c r="B660" s="6" t="s">
        <v>230</v>
      </c>
      <c r="C660" s="5">
        <v>2021</v>
      </c>
      <c r="D660" s="7">
        <v>94.40388489</v>
      </c>
      <c r="E660" s="11">
        <v>64.286000000000001</v>
      </c>
      <c r="F660" s="10">
        <f>Table1[[#This Row],[Life expectancy at birth, total (years) '[SP.DYN.LE00.IN']]]/Table1[[#This Row],[Current health expenditure per capita (current US$) '[SH.XPD.CHEX.PC.CD']]]</f>
        <v>0.68096773850892311</v>
      </c>
      <c r="G660" s="4">
        <f>Table1[[#This Row],[Life expectancy at birth, total (years) '[SP.DYN.LE00.IN']]]/Table1[[#This Row],[Current health expenditure per capita (current US$) '[SH.XPD.CHEX.PC.CD']]]*1000</f>
        <v>680.96773850892316</v>
      </c>
    </row>
    <row r="661" spans="1:7" x14ac:dyDescent="0.25">
      <c r="A661" s="5" t="s">
        <v>220</v>
      </c>
      <c r="B661" s="6" t="s">
        <v>230</v>
      </c>
      <c r="C661" s="5">
        <v>2022</v>
      </c>
      <c r="D661" s="7">
        <v>82.32108307</v>
      </c>
      <c r="E661" s="11">
        <v>65.245999999999995</v>
      </c>
      <c r="F661" s="10">
        <f>Table1[[#This Row],[Life expectancy at birth, total (years) '[SP.DYN.LE00.IN']]]/Table1[[#This Row],[Current health expenditure per capita (current US$) '[SH.XPD.CHEX.PC.CD']]]</f>
        <v>0.79257946526917578</v>
      </c>
      <c r="G661" s="4">
        <f>Table1[[#This Row],[Life expectancy at birth, total (years) '[SP.DYN.LE00.IN']]]/Table1[[#This Row],[Current health expenditure per capita (current US$) '[SH.XPD.CHEX.PC.CD']]]*1000</f>
        <v>792.57946526917578</v>
      </c>
    </row>
    <row r="662" spans="1:7" x14ac:dyDescent="0.25">
      <c r="A662" s="5" t="s">
        <v>220</v>
      </c>
      <c r="B662" s="6" t="s">
        <v>230</v>
      </c>
      <c r="C662" s="5">
        <v>2023</v>
      </c>
      <c r="D662" s="7">
        <v>70.257308960000003</v>
      </c>
      <c r="E662" s="11">
        <v>65.498000000000005</v>
      </c>
      <c r="F662" s="10">
        <f>Table1[[#This Row],[Life expectancy at birth, total (years) '[SP.DYN.LE00.IN']]]/Table1[[#This Row],[Current health expenditure per capita (current US$) '[SH.XPD.CHEX.PC.CD']]]</f>
        <v>0.93225887768189863</v>
      </c>
      <c r="G662" s="4">
        <f>Table1[[#This Row],[Life expectancy at birth, total (years) '[SP.DYN.LE00.IN']]]/Table1[[#This Row],[Current health expenditure per capita (current US$) '[SH.XPD.CHEX.PC.CD']]]*1000</f>
        <v>932.25887768189864</v>
      </c>
    </row>
    <row r="663" spans="1:7" hidden="1" x14ac:dyDescent="0.25">
      <c r="B663" s="1"/>
      <c r="D663" s="3"/>
      <c r="E663"/>
      <c r="F663" t="e">
        <f>Table1[[#This Row],[Life expectancy at birth, total (years) '[SP.DYN.LE00.IN']]]/Table1[[#This Row],[Current health expenditure per capita (current US$) '[SH.XPD.CHEX.PC.CD']]]</f>
        <v>#DIV/0!</v>
      </c>
      <c r="G663" s="2" t="e">
        <f>Table1[[#This Row],[Life expectancy at birth, total (years) '[SP.DYN.LE00.IN']]]/Table1[[#This Row],[Current health expenditure per capita (current US$) '[SH.XPD.CHEX.PC.CD']]]*1000</f>
        <v>#DIV/0!</v>
      </c>
    </row>
    <row r="664" spans="1:7" x14ac:dyDescent="0.25">
      <c r="A664" s="5" t="s">
        <v>292</v>
      </c>
      <c r="B664" s="6" t="s">
        <v>333</v>
      </c>
      <c r="C664" s="5">
        <v>2015</v>
      </c>
      <c r="D664" s="7">
        <v>1481.4196777300001</v>
      </c>
      <c r="E664" s="11">
        <v>81.036585365853668</v>
      </c>
      <c r="F664" s="10">
        <f>Table1[[#This Row],[Life expectancy at birth, total (years) '[SP.DYN.LE00.IN']]]/Table1[[#This Row],[Current health expenditure per capita (current US$) '[SH.XPD.CHEX.PC.CD']]]</f>
        <v>5.4701977153447261E-2</v>
      </c>
      <c r="G664" s="4">
        <f>Table1[[#This Row],[Life expectancy at birth, total (years) '[SP.DYN.LE00.IN']]]/Table1[[#This Row],[Current health expenditure per capita (current US$) '[SH.XPD.CHEX.PC.CD']]]*1000</f>
        <v>54.70197715344726</v>
      </c>
    </row>
    <row r="665" spans="1:7" x14ac:dyDescent="0.25">
      <c r="A665" s="5" t="s">
        <v>292</v>
      </c>
      <c r="B665" s="6" t="s">
        <v>333</v>
      </c>
      <c r="C665" s="5">
        <v>2016</v>
      </c>
      <c r="D665" s="7">
        <v>1513.25939941</v>
      </c>
      <c r="E665" s="11">
        <v>81.387804878048797</v>
      </c>
      <c r="F665" s="10">
        <f>Table1[[#This Row],[Life expectancy at birth, total (years) '[SP.DYN.LE00.IN']]]/Table1[[#This Row],[Current health expenditure per capita (current US$) '[SH.XPD.CHEX.PC.CD']]]</f>
        <v>5.3783115379809197E-2</v>
      </c>
      <c r="G665" s="4">
        <f>Table1[[#This Row],[Life expectancy at birth, total (years) '[SP.DYN.LE00.IN']]]/Table1[[#This Row],[Current health expenditure per capita (current US$) '[SH.XPD.CHEX.PC.CD']]]*1000</f>
        <v>53.783115379809196</v>
      </c>
    </row>
    <row r="666" spans="1:7" x14ac:dyDescent="0.25">
      <c r="A666" s="5" t="s">
        <v>292</v>
      </c>
      <c r="B666" s="6" t="s">
        <v>333</v>
      </c>
      <c r="C666" s="5">
        <v>2017</v>
      </c>
      <c r="D666" s="7">
        <v>1509.7844238299999</v>
      </c>
      <c r="E666" s="11">
        <v>81.287804878048775</v>
      </c>
      <c r="F666" s="10">
        <f>Table1[[#This Row],[Life expectancy at birth, total (years) '[SP.DYN.LE00.IN']]]/Table1[[#This Row],[Current health expenditure per capita (current US$) '[SH.XPD.CHEX.PC.CD']]]</f>
        <v>5.3840669962562614E-2</v>
      </c>
      <c r="G666" s="4">
        <f>Table1[[#This Row],[Life expectancy at birth, total (years) '[SP.DYN.LE00.IN']]]/Table1[[#This Row],[Current health expenditure per capita (current US$) '[SH.XPD.CHEX.PC.CD']]]*1000</f>
        <v>53.840669962562615</v>
      </c>
    </row>
    <row r="667" spans="1:7" x14ac:dyDescent="0.25">
      <c r="A667" s="5" t="s">
        <v>292</v>
      </c>
      <c r="B667" s="6" t="s">
        <v>333</v>
      </c>
      <c r="C667" s="5">
        <v>2018</v>
      </c>
      <c r="D667" s="7">
        <v>1603.0778808600001</v>
      </c>
      <c r="E667" s="11">
        <v>81.787804878048803</v>
      </c>
      <c r="F667" s="10">
        <f>Table1[[#This Row],[Life expectancy at birth, total (years) '[SP.DYN.LE00.IN']]]/Table1[[#This Row],[Current health expenditure per capita (current US$) '[SH.XPD.CHEX.PC.CD']]]</f>
        <v>5.1019233597167632E-2</v>
      </c>
      <c r="G667" s="4">
        <f>Table1[[#This Row],[Life expectancy at birth, total (years) '[SP.DYN.LE00.IN']]]/Table1[[#This Row],[Current health expenditure per capita (current US$) '[SH.XPD.CHEX.PC.CD']]]*1000</f>
        <v>51.019233597167634</v>
      </c>
    </row>
    <row r="668" spans="1:7" x14ac:dyDescent="0.25">
      <c r="A668" s="5" t="s">
        <v>292</v>
      </c>
      <c r="B668" s="6" t="s">
        <v>333</v>
      </c>
      <c r="C668" s="5">
        <v>2019</v>
      </c>
      <c r="D668" s="7">
        <v>1569.0284423799999</v>
      </c>
      <c r="E668" s="11">
        <v>81.639024390243918</v>
      </c>
      <c r="F668" s="10">
        <f>Table1[[#This Row],[Life expectancy at birth, total (years) '[SP.DYN.LE00.IN']]]/Table1[[#This Row],[Current health expenditure per capita (current US$) '[SH.XPD.CHEX.PC.CD']]]</f>
        <v>5.203157711176272E-2</v>
      </c>
      <c r="G668" s="4">
        <f>Table1[[#This Row],[Life expectancy at birth, total (years) '[SP.DYN.LE00.IN']]]/Table1[[#This Row],[Current health expenditure per capita (current US$) '[SH.XPD.CHEX.PC.CD']]]*1000</f>
        <v>52.031577111762722</v>
      </c>
    </row>
    <row r="669" spans="1:7" x14ac:dyDescent="0.25">
      <c r="A669" s="5" t="s">
        <v>292</v>
      </c>
      <c r="B669" s="6" t="s">
        <v>333</v>
      </c>
      <c r="C669" s="5">
        <v>2020</v>
      </c>
      <c r="D669" s="7">
        <v>1674.78417969</v>
      </c>
      <c r="E669" s="11">
        <v>81.287804878048775</v>
      </c>
      <c r="F669" s="10">
        <f>Table1[[#This Row],[Life expectancy at birth, total (years) '[SP.DYN.LE00.IN']]]/Table1[[#This Row],[Current health expenditure per capita (current US$) '[SH.XPD.CHEX.PC.CD']]]</f>
        <v>4.8536286563857452E-2</v>
      </c>
      <c r="G669" s="4">
        <f>Table1[[#This Row],[Life expectancy at birth, total (years) '[SP.DYN.LE00.IN']]]/Table1[[#This Row],[Current health expenditure per capita (current US$) '[SH.XPD.CHEX.PC.CD']]]*1000</f>
        <v>48.536286563857452</v>
      </c>
    </row>
    <row r="670" spans="1:7" x14ac:dyDescent="0.25">
      <c r="A670" s="5" t="s">
        <v>292</v>
      </c>
      <c r="B670" s="6" t="s">
        <v>333</v>
      </c>
      <c r="C670" s="5">
        <v>2021</v>
      </c>
      <c r="D670" s="7">
        <v>1846.3730468799999</v>
      </c>
      <c r="E670" s="11">
        <v>80.082926829268303</v>
      </c>
      <c r="F670" s="10">
        <f>Table1[[#This Row],[Life expectancy at birth, total (years) '[SP.DYN.LE00.IN']]]/Table1[[#This Row],[Current health expenditure per capita (current US$) '[SH.XPD.CHEX.PC.CD']]]</f>
        <v>4.3373102182461112E-2</v>
      </c>
      <c r="G670" s="4">
        <f>Table1[[#This Row],[Life expectancy at birth, total (years) '[SP.DYN.LE00.IN']]]/Table1[[#This Row],[Current health expenditure per capita (current US$) '[SH.XPD.CHEX.PC.CD']]]*1000</f>
        <v>43.37310218246111</v>
      </c>
    </row>
    <row r="671" spans="1:7" x14ac:dyDescent="0.25">
      <c r="A671" s="5" t="s">
        <v>292</v>
      </c>
      <c r="B671" s="6" t="s">
        <v>333</v>
      </c>
      <c r="C671" s="5">
        <v>2022</v>
      </c>
      <c r="D671" s="7">
        <v>1768.1107177700001</v>
      </c>
      <c r="E671" s="11">
        <v>80.787804878048789</v>
      </c>
      <c r="F671" s="10">
        <f>Table1[[#This Row],[Life expectancy at birth, total (years) '[SP.DYN.LE00.IN']]]/Table1[[#This Row],[Current health expenditure per capita (current US$) '[SH.XPD.CHEX.PC.CD']]]</f>
        <v>4.5691598419776026E-2</v>
      </c>
      <c r="G671" s="4">
        <f>Table1[[#This Row],[Life expectancy at birth, total (years) '[SP.DYN.LE00.IN']]]/Table1[[#This Row],[Current health expenditure per capita (current US$) '[SH.XPD.CHEX.PC.CD']]]*1000</f>
        <v>45.691598419776028</v>
      </c>
    </row>
    <row r="672" spans="1:7" x14ac:dyDescent="0.25">
      <c r="A672" s="5" t="s">
        <v>292</v>
      </c>
      <c r="B672" s="6" t="s">
        <v>333</v>
      </c>
      <c r="C672" s="5">
        <v>2023</v>
      </c>
      <c r="D672" s="7">
        <v>1962.5959472699999</v>
      </c>
      <c r="E672" s="11">
        <v>81.536585365853668</v>
      </c>
      <c r="F672" s="10">
        <f>Table1[[#This Row],[Life expectancy at birth, total (years) '[SP.DYN.LE00.IN']]]/Table1[[#This Row],[Current health expenditure per capita (current US$) '[SH.XPD.CHEX.PC.CD']]]</f>
        <v>4.1545273482946031E-2</v>
      </c>
      <c r="G672" s="4">
        <f>Table1[[#This Row],[Life expectancy at birth, total (years) '[SP.DYN.LE00.IN']]]/Table1[[#This Row],[Current health expenditure per capita (current US$) '[SH.XPD.CHEX.PC.CD']]]*1000</f>
        <v>41.54527348294603</v>
      </c>
    </row>
    <row r="673" spans="1:7" hidden="1" x14ac:dyDescent="0.25">
      <c r="B673" s="1"/>
      <c r="D673" s="3"/>
      <c r="E673"/>
      <c r="F673" t="e">
        <f>Table1[[#This Row],[Life expectancy at birth, total (years) '[SP.DYN.LE00.IN']]]/Table1[[#This Row],[Current health expenditure per capita (current US$) '[SH.XPD.CHEX.PC.CD']]]</f>
        <v>#DIV/0!</v>
      </c>
      <c r="G673" s="2" t="e">
        <f>Table1[[#This Row],[Life expectancy at birth, total (years) '[SP.DYN.LE00.IN']]]/Table1[[#This Row],[Current health expenditure per capita (current US$) '[SH.XPD.CHEX.PC.CD']]]*1000</f>
        <v>#DIV/0!</v>
      </c>
    </row>
    <row r="674" spans="1:7" x14ac:dyDescent="0.25">
      <c r="A674" s="5" t="s">
        <v>153</v>
      </c>
      <c r="B674" s="6" t="s">
        <v>225</v>
      </c>
      <c r="C674" s="5">
        <v>2015</v>
      </c>
      <c r="D674" s="7">
        <v>404.00680541999998</v>
      </c>
      <c r="E674" s="11">
        <v>75.037000000000006</v>
      </c>
      <c r="F674" s="10">
        <f>Table1[[#This Row],[Life expectancy at birth, total (years) '[SP.DYN.LE00.IN']]]/Table1[[#This Row],[Current health expenditure per capita (current US$) '[SH.XPD.CHEX.PC.CD']]]</f>
        <v>0.18573201984058799</v>
      </c>
      <c r="G674" s="4">
        <f>Table1[[#This Row],[Life expectancy at birth, total (years) '[SP.DYN.LE00.IN']]]/Table1[[#This Row],[Current health expenditure per capita (current US$) '[SH.XPD.CHEX.PC.CD']]]*1000</f>
        <v>185.73201984058798</v>
      </c>
    </row>
    <row r="675" spans="1:7" x14ac:dyDescent="0.25">
      <c r="A675" s="5" t="s">
        <v>153</v>
      </c>
      <c r="B675" s="6" t="s">
        <v>225</v>
      </c>
      <c r="C675" s="5">
        <v>2016</v>
      </c>
      <c r="D675" s="7">
        <v>409.27841187000001</v>
      </c>
      <c r="E675" s="11">
        <v>75.010000000000005</v>
      </c>
      <c r="F675" s="10">
        <f>Table1[[#This Row],[Life expectancy at birth, total (years) '[SP.DYN.LE00.IN']]]/Table1[[#This Row],[Current health expenditure per capita (current US$) '[SH.XPD.CHEX.PC.CD']]]</f>
        <v>0.18327377605204742</v>
      </c>
      <c r="G675" s="4">
        <f>Table1[[#This Row],[Life expectancy at birth, total (years) '[SP.DYN.LE00.IN']]]/Table1[[#This Row],[Current health expenditure per capita (current US$) '[SH.XPD.CHEX.PC.CD']]]*1000</f>
        <v>183.27377605204742</v>
      </c>
    </row>
    <row r="676" spans="1:7" x14ac:dyDescent="0.25">
      <c r="A676" s="5" t="s">
        <v>153</v>
      </c>
      <c r="B676" s="6" t="s">
        <v>225</v>
      </c>
      <c r="C676" s="5">
        <v>2017</v>
      </c>
      <c r="D676" s="7">
        <v>454.07266234999997</v>
      </c>
      <c r="E676" s="11">
        <v>74.977000000000004</v>
      </c>
      <c r="F676" s="10">
        <f>Table1[[#This Row],[Life expectancy at birth, total (years) '[SP.DYN.LE00.IN']]]/Table1[[#This Row],[Current health expenditure per capita (current US$) '[SH.XPD.CHEX.PC.CD']]]</f>
        <v>0.16512114957981683</v>
      </c>
      <c r="G676" s="4">
        <f>Table1[[#This Row],[Life expectancy at birth, total (years) '[SP.DYN.LE00.IN']]]/Table1[[#This Row],[Current health expenditure per capita (current US$) '[SH.XPD.CHEX.PC.CD']]]*1000</f>
        <v>165.12114957981683</v>
      </c>
    </row>
    <row r="677" spans="1:7" x14ac:dyDescent="0.25">
      <c r="A677" s="5" t="s">
        <v>153</v>
      </c>
      <c r="B677" s="6" t="s">
        <v>225</v>
      </c>
      <c r="C677" s="5">
        <v>2018</v>
      </c>
      <c r="D677" s="7">
        <v>462.2394104</v>
      </c>
      <c r="E677" s="11">
        <v>74.956999999999994</v>
      </c>
      <c r="F677" s="10">
        <f>Table1[[#This Row],[Life expectancy at birth, total (years) '[SP.DYN.LE00.IN']]]/Table1[[#This Row],[Current health expenditure per capita (current US$) '[SH.XPD.CHEX.PC.CD']]]</f>
        <v>0.16216055644224661</v>
      </c>
      <c r="G677" s="4">
        <f>Table1[[#This Row],[Life expectancy at birth, total (years) '[SP.DYN.LE00.IN']]]/Table1[[#This Row],[Current health expenditure per capita (current US$) '[SH.XPD.CHEX.PC.CD']]]*1000</f>
        <v>162.16055644224662</v>
      </c>
    </row>
    <row r="678" spans="1:7" x14ac:dyDescent="0.25">
      <c r="A678" s="5" t="s">
        <v>153</v>
      </c>
      <c r="B678" s="6" t="s">
        <v>225</v>
      </c>
      <c r="C678" s="5">
        <v>2019</v>
      </c>
      <c r="D678" s="7">
        <v>515.94726562999995</v>
      </c>
      <c r="E678" s="11">
        <v>74.971000000000004</v>
      </c>
      <c r="F678" s="10">
        <f>Table1[[#This Row],[Life expectancy at birth, total (years) '[SP.DYN.LE00.IN']]]/Table1[[#This Row],[Current health expenditure per capita (current US$) '[SH.XPD.CHEX.PC.CD']]]</f>
        <v>0.14530748585023762</v>
      </c>
      <c r="G678" s="4">
        <f>Table1[[#This Row],[Life expectancy at birth, total (years) '[SP.DYN.LE00.IN']]]/Table1[[#This Row],[Current health expenditure per capita (current US$) '[SH.XPD.CHEX.PC.CD']]]*1000</f>
        <v>145.30748585023761</v>
      </c>
    </row>
    <row r="679" spans="1:7" x14ac:dyDescent="0.25">
      <c r="A679" s="5" t="s">
        <v>153</v>
      </c>
      <c r="B679" s="6" t="s">
        <v>225</v>
      </c>
      <c r="C679" s="5">
        <v>2020</v>
      </c>
      <c r="D679" s="7">
        <v>475.83853148999998</v>
      </c>
      <c r="E679" s="11">
        <v>75.019000000000005</v>
      </c>
      <c r="F679" s="10">
        <f>Table1[[#This Row],[Life expectancy at birth, total (years) '[SP.DYN.LE00.IN']]]/Table1[[#This Row],[Current health expenditure per capita (current US$) '[SH.XPD.CHEX.PC.CD']]]</f>
        <v>0.15765642131815585</v>
      </c>
      <c r="G679" s="4">
        <f>Table1[[#This Row],[Life expectancy at birth, total (years) '[SP.DYN.LE00.IN']]]/Table1[[#This Row],[Current health expenditure per capita (current US$) '[SH.XPD.CHEX.PC.CD']]]*1000</f>
        <v>157.65642131815585</v>
      </c>
    </row>
    <row r="680" spans="1:7" x14ac:dyDescent="0.25">
      <c r="A680" s="5" t="s">
        <v>153</v>
      </c>
      <c r="B680" s="6" t="s">
        <v>225</v>
      </c>
      <c r="C680" s="5">
        <v>2021</v>
      </c>
      <c r="D680" s="7">
        <v>508.09500121999997</v>
      </c>
      <c r="E680" s="11">
        <v>74.522000000000006</v>
      </c>
      <c r="F680" s="10">
        <f>Table1[[#This Row],[Life expectancy at birth, total (years) '[SP.DYN.LE00.IN']]]/Table1[[#This Row],[Current health expenditure per capita (current US$) '[SH.XPD.CHEX.PC.CD']]]</f>
        <v>0.1466694217047271</v>
      </c>
      <c r="G680" s="4">
        <f>Table1[[#This Row],[Life expectancy at birth, total (years) '[SP.DYN.LE00.IN']]]/Table1[[#This Row],[Current health expenditure per capita (current US$) '[SH.XPD.CHEX.PC.CD']]]*1000</f>
        <v>146.66942170472711</v>
      </c>
    </row>
    <row r="681" spans="1:7" x14ac:dyDescent="0.25">
      <c r="A681" s="5" t="s">
        <v>153</v>
      </c>
      <c r="B681" s="6" t="s">
        <v>225</v>
      </c>
      <c r="C681" s="5">
        <v>2022</v>
      </c>
      <c r="D681" s="7">
        <v>526.35113524999997</v>
      </c>
      <c r="E681" s="11">
        <v>75.150999999999996</v>
      </c>
      <c r="F681" s="10">
        <f>Table1[[#This Row],[Life expectancy at birth, total (years) '[SP.DYN.LE00.IN']]]/Table1[[#This Row],[Current health expenditure per capita (current US$) '[SH.XPD.CHEX.PC.CD']]]</f>
        <v>0.14277731150766051</v>
      </c>
      <c r="G681" s="4">
        <f>Table1[[#This Row],[Life expectancy at birth, total (years) '[SP.DYN.LE00.IN']]]/Table1[[#This Row],[Current health expenditure per capita (current US$) '[SH.XPD.CHEX.PC.CD']]]*1000</f>
        <v>142.77731150766053</v>
      </c>
    </row>
    <row r="682" spans="1:7" x14ac:dyDescent="0.25">
      <c r="A682" s="5" t="s">
        <v>153</v>
      </c>
      <c r="B682" s="6" t="s">
        <v>225</v>
      </c>
      <c r="C682" s="5">
        <v>2023</v>
      </c>
      <c r="D682" s="7">
        <v>526.39184569999998</v>
      </c>
      <c r="E682" s="11">
        <v>75.204999999999998</v>
      </c>
      <c r="F682" s="10">
        <f>Table1[[#This Row],[Life expectancy at birth, total (years) '[SP.DYN.LE00.IN']]]/Table1[[#This Row],[Current health expenditure per capita (current US$) '[SH.XPD.CHEX.PC.CD']]]</f>
        <v>0.14286885447473413</v>
      </c>
      <c r="G682" s="4">
        <f>Table1[[#This Row],[Life expectancy at birth, total (years) '[SP.DYN.LE00.IN']]]/Table1[[#This Row],[Current health expenditure per capita (current US$) '[SH.XPD.CHEX.PC.CD']]]*1000</f>
        <v>142.86885447473412</v>
      </c>
    </row>
    <row r="683" spans="1:7" hidden="1" x14ac:dyDescent="0.25">
      <c r="B683" s="1"/>
      <c r="D683" s="3"/>
      <c r="E683"/>
      <c r="F683" t="e">
        <f>Table1[[#This Row],[Life expectancy at birth, total (years) '[SP.DYN.LE00.IN']]]/Table1[[#This Row],[Current health expenditure per capita (current US$) '[SH.XPD.CHEX.PC.CD']]]</f>
        <v>#DIV/0!</v>
      </c>
      <c r="G683" s="2" t="e">
        <f>Table1[[#This Row],[Life expectancy at birth, total (years) '[SP.DYN.LE00.IN']]]/Table1[[#This Row],[Current health expenditure per capita (current US$) '[SH.XPD.CHEX.PC.CD']]]*1000</f>
        <v>#DIV/0!</v>
      </c>
    </row>
    <row r="684" spans="1:7" x14ac:dyDescent="0.25">
      <c r="A684" s="5" t="s">
        <v>77</v>
      </c>
      <c r="B684" s="6" t="s">
        <v>224</v>
      </c>
      <c r="C684" s="5">
        <v>2015</v>
      </c>
      <c r="D684" s="7">
        <v>233.84478759999999</v>
      </c>
      <c r="E684" s="11">
        <v>70.915000000000006</v>
      </c>
      <c r="F684" s="10">
        <f>Table1[[#This Row],[Life expectancy at birth, total (years) '[SP.DYN.LE00.IN']]]/Table1[[#This Row],[Current health expenditure per capita (current US$) '[SH.XPD.CHEX.PC.CD']]]</f>
        <v>0.30325670598783111</v>
      </c>
      <c r="G684" s="4">
        <f>Table1[[#This Row],[Life expectancy at birth, total (years) '[SP.DYN.LE00.IN']]]/Table1[[#This Row],[Current health expenditure per capita (current US$) '[SH.XPD.CHEX.PC.CD']]]*1000</f>
        <v>303.25670598783108</v>
      </c>
    </row>
    <row r="685" spans="1:7" x14ac:dyDescent="0.25">
      <c r="A685" s="5" t="s">
        <v>77</v>
      </c>
      <c r="B685" s="6" t="s">
        <v>224</v>
      </c>
      <c r="C685" s="5">
        <v>2016</v>
      </c>
      <c r="D685" s="7">
        <v>246.4538269</v>
      </c>
      <c r="E685" s="11">
        <v>71.215000000000003</v>
      </c>
      <c r="F685" s="10">
        <f>Table1[[#This Row],[Life expectancy at birth, total (years) '[SP.DYN.LE00.IN']]]/Table1[[#This Row],[Current health expenditure per capita (current US$) '[SH.XPD.CHEX.PC.CD']]]</f>
        <v>0.28895879157476373</v>
      </c>
      <c r="G685" s="4">
        <f>Table1[[#This Row],[Life expectancy at birth, total (years) '[SP.DYN.LE00.IN']]]/Table1[[#This Row],[Current health expenditure per capita (current US$) '[SH.XPD.CHEX.PC.CD']]]*1000</f>
        <v>288.95879157476372</v>
      </c>
    </row>
    <row r="686" spans="1:7" x14ac:dyDescent="0.25">
      <c r="A686" s="5" t="s">
        <v>77</v>
      </c>
      <c r="B686" s="6" t="s">
        <v>224</v>
      </c>
      <c r="C686" s="5">
        <v>2017</v>
      </c>
      <c r="D686" s="7">
        <v>265.36593628000003</v>
      </c>
      <c r="E686" s="11">
        <v>71.582999999999998</v>
      </c>
      <c r="F686" s="10">
        <f>Table1[[#This Row],[Life expectancy at birth, total (years) '[SP.DYN.LE00.IN']]]/Table1[[#This Row],[Current health expenditure per capita (current US$) '[SH.XPD.CHEX.PC.CD']]]</f>
        <v>0.26975202998349201</v>
      </c>
      <c r="G686" s="4">
        <f>Table1[[#This Row],[Life expectancy at birth, total (years) '[SP.DYN.LE00.IN']]]/Table1[[#This Row],[Current health expenditure per capita (current US$) '[SH.XPD.CHEX.PC.CD']]]*1000</f>
        <v>269.75202998349204</v>
      </c>
    </row>
    <row r="687" spans="1:7" x14ac:dyDescent="0.25">
      <c r="A687" s="5" t="s">
        <v>77</v>
      </c>
      <c r="B687" s="6" t="s">
        <v>224</v>
      </c>
      <c r="C687" s="5">
        <v>2018</v>
      </c>
      <c r="D687" s="7">
        <v>265.81820678999998</v>
      </c>
      <c r="E687" s="11">
        <v>71.495999999999995</v>
      </c>
      <c r="F687" s="10">
        <f>Table1[[#This Row],[Life expectancy at birth, total (years) '[SP.DYN.LE00.IN']]]/Table1[[#This Row],[Current health expenditure per capita (current US$) '[SH.XPD.CHEX.PC.CD']]]</f>
        <v>0.2689657750060846</v>
      </c>
      <c r="G687" s="4">
        <f>Table1[[#This Row],[Life expectancy at birth, total (years) '[SP.DYN.LE00.IN']]]/Table1[[#This Row],[Current health expenditure per capita (current US$) '[SH.XPD.CHEX.PC.CD']]]*1000</f>
        <v>268.96577500608458</v>
      </c>
    </row>
    <row r="688" spans="1:7" x14ac:dyDescent="0.25">
      <c r="A688" s="5" t="s">
        <v>77</v>
      </c>
      <c r="B688" s="6" t="s">
        <v>224</v>
      </c>
      <c r="C688" s="5">
        <v>2019</v>
      </c>
      <c r="D688" s="7">
        <v>278.59024047999998</v>
      </c>
      <c r="E688" s="11">
        <v>71.638999999999996</v>
      </c>
      <c r="F688" s="10">
        <f>Table1[[#This Row],[Life expectancy at birth, total (years) '[SP.DYN.LE00.IN']]]/Table1[[#This Row],[Current health expenditure per capita (current US$) '[SH.XPD.CHEX.PC.CD']]]</f>
        <v>0.25714827582103678</v>
      </c>
      <c r="G688" s="4">
        <f>Table1[[#This Row],[Life expectancy at birth, total (years) '[SP.DYN.LE00.IN']]]/Table1[[#This Row],[Current health expenditure per capita (current US$) '[SH.XPD.CHEX.PC.CD']]]*1000</f>
        <v>257.14827582103675</v>
      </c>
    </row>
    <row r="689" spans="1:7" x14ac:dyDescent="0.25">
      <c r="A689" s="5" t="s">
        <v>77</v>
      </c>
      <c r="B689" s="6" t="s">
        <v>224</v>
      </c>
      <c r="C689" s="5">
        <v>2020</v>
      </c>
      <c r="D689" s="7">
        <v>289.21640015000003</v>
      </c>
      <c r="E689" s="11">
        <v>69.971000000000004</v>
      </c>
      <c r="F689" s="10">
        <f>Table1[[#This Row],[Life expectancy at birth, total (years) '[SP.DYN.LE00.IN']]]/Table1[[#This Row],[Current health expenditure per capita (current US$) '[SH.XPD.CHEX.PC.CD']]]</f>
        <v>0.24193302995165572</v>
      </c>
      <c r="G689" s="4">
        <f>Table1[[#This Row],[Life expectancy at birth, total (years) '[SP.DYN.LE00.IN']]]/Table1[[#This Row],[Current health expenditure per capita (current US$) '[SH.XPD.CHEX.PC.CD']]]*1000</f>
        <v>241.93302995165573</v>
      </c>
    </row>
    <row r="690" spans="1:7" x14ac:dyDescent="0.25">
      <c r="A690" s="5" t="s">
        <v>77</v>
      </c>
      <c r="B690" s="6" t="s">
        <v>224</v>
      </c>
      <c r="C690" s="5">
        <v>2021</v>
      </c>
      <c r="D690" s="7">
        <v>361.51858521000003</v>
      </c>
      <c r="E690" s="11">
        <v>67.858000000000004</v>
      </c>
      <c r="F690" s="10">
        <f>Table1[[#This Row],[Life expectancy at birth, total (years) '[SP.DYN.LE00.IN']]]/Table1[[#This Row],[Current health expenditure per capita (current US$) '[SH.XPD.CHEX.PC.CD']]]</f>
        <v>0.18770265976943465</v>
      </c>
      <c r="G690" s="4">
        <f>Table1[[#This Row],[Life expectancy at birth, total (years) '[SP.DYN.LE00.IN']]]/Table1[[#This Row],[Current health expenditure per capita (current US$) '[SH.XPD.CHEX.PC.CD']]]*1000</f>
        <v>187.70265976943466</v>
      </c>
    </row>
    <row r="691" spans="1:7" x14ac:dyDescent="0.25">
      <c r="A691" s="5" t="s">
        <v>77</v>
      </c>
      <c r="B691" s="6" t="s">
        <v>224</v>
      </c>
      <c r="C691" s="5">
        <v>2022</v>
      </c>
      <c r="D691" s="7">
        <v>384.06158447000001</v>
      </c>
      <c r="E691" s="11">
        <v>71.206000000000003</v>
      </c>
      <c r="F691" s="10">
        <f>Table1[[#This Row],[Life expectancy at birth, total (years) '[SP.DYN.LE00.IN']]]/Table1[[#This Row],[Current health expenditure per capita (current US$) '[SH.XPD.CHEX.PC.CD']]]</f>
        <v>0.18540255750458187</v>
      </c>
      <c r="G691" s="4">
        <f>Table1[[#This Row],[Life expectancy at birth, total (years) '[SP.DYN.LE00.IN']]]/Table1[[#This Row],[Current health expenditure per capita (current US$) '[SH.XPD.CHEX.PC.CD']]]*1000</f>
        <v>185.40255750458186</v>
      </c>
    </row>
    <row r="692" spans="1:7" x14ac:dyDescent="0.25">
      <c r="A692" s="5" t="s">
        <v>77</v>
      </c>
      <c r="B692" s="6" t="s">
        <v>224</v>
      </c>
      <c r="C692" s="5">
        <v>2023</v>
      </c>
      <c r="D692" s="7">
        <v>392.01223755000001</v>
      </c>
      <c r="E692" s="11">
        <v>72.602000000000004</v>
      </c>
      <c r="F692" s="10">
        <f>Table1[[#This Row],[Life expectancy at birth, total (years) '[SP.DYN.LE00.IN']]]/Table1[[#This Row],[Current health expenditure per capita (current US$) '[SH.XPD.CHEX.PC.CD']]]</f>
        <v>0.18520340194925633</v>
      </c>
      <c r="G692" s="4">
        <f>Table1[[#This Row],[Life expectancy at birth, total (years) '[SP.DYN.LE00.IN']]]/Table1[[#This Row],[Current health expenditure per capita (current US$) '[SH.XPD.CHEX.PC.CD']]]*1000</f>
        <v>185.20340194925632</v>
      </c>
    </row>
    <row r="693" spans="1:7" hidden="1" x14ac:dyDescent="0.25">
      <c r="B693" s="1"/>
      <c r="D693" s="3"/>
      <c r="E693"/>
      <c r="F693" t="e">
        <f>Table1[[#This Row],[Life expectancy at birth, total (years) '[SP.DYN.LE00.IN']]]/Table1[[#This Row],[Current health expenditure per capita (current US$) '[SH.XPD.CHEX.PC.CD']]]</f>
        <v>#DIV/0!</v>
      </c>
      <c r="G693" s="2" t="e">
        <f>Table1[[#This Row],[Life expectancy at birth, total (years) '[SP.DYN.LE00.IN']]]/Table1[[#This Row],[Current health expenditure per capita (current US$) '[SH.XPD.CHEX.PC.CD']]]*1000</f>
        <v>#DIV/0!</v>
      </c>
    </row>
    <row r="694" spans="1:7" x14ac:dyDescent="0.25">
      <c r="A694" s="5" t="s">
        <v>200</v>
      </c>
      <c r="B694" s="6" t="s">
        <v>48</v>
      </c>
      <c r="C694" s="5">
        <v>2015</v>
      </c>
      <c r="D694" s="7">
        <v>43.415405270000001</v>
      </c>
      <c r="E694" s="11">
        <v>57.899000000000001</v>
      </c>
      <c r="F694" s="10">
        <f>Table1[[#This Row],[Life expectancy at birth, total (years) '[SP.DYN.LE00.IN']]]/Table1[[#This Row],[Current health expenditure per capita (current US$) '[SH.XPD.CHEX.PC.CD']]]</f>
        <v>1.3336049644112882</v>
      </c>
      <c r="G694" s="4">
        <f>Table1[[#This Row],[Life expectancy at birth, total (years) '[SP.DYN.LE00.IN']]]/Table1[[#This Row],[Current health expenditure per capita (current US$) '[SH.XPD.CHEX.PC.CD']]]*1000</f>
        <v>1333.6049644112882</v>
      </c>
    </row>
    <row r="695" spans="1:7" x14ac:dyDescent="0.25">
      <c r="A695" s="5" t="s">
        <v>200</v>
      </c>
      <c r="B695" s="6" t="s">
        <v>48</v>
      </c>
      <c r="C695" s="5">
        <v>2016</v>
      </c>
      <c r="D695" s="7">
        <v>38.426094059999997</v>
      </c>
      <c r="E695" s="11">
        <v>58.49</v>
      </c>
      <c r="F695" s="10">
        <f>Table1[[#This Row],[Life expectancy at birth, total (years) '[SP.DYN.LE00.IN']]]/Table1[[#This Row],[Current health expenditure per capita (current US$) '[SH.XPD.CHEX.PC.CD']]]</f>
        <v>1.522142737397963</v>
      </c>
      <c r="G695" s="4">
        <f>Table1[[#This Row],[Life expectancy at birth, total (years) '[SP.DYN.LE00.IN']]]/Table1[[#This Row],[Current health expenditure per capita (current US$) '[SH.XPD.CHEX.PC.CD']]]*1000</f>
        <v>1522.1427373979629</v>
      </c>
    </row>
    <row r="696" spans="1:7" x14ac:dyDescent="0.25">
      <c r="A696" s="5" t="s">
        <v>200</v>
      </c>
      <c r="B696" s="6" t="s">
        <v>48</v>
      </c>
      <c r="C696" s="5">
        <v>2017</v>
      </c>
      <c r="D696" s="7">
        <v>32.636463169999999</v>
      </c>
      <c r="E696" s="11">
        <v>58.715000000000003</v>
      </c>
      <c r="F696" s="10">
        <f>Table1[[#This Row],[Life expectancy at birth, total (years) '[SP.DYN.LE00.IN']]]/Table1[[#This Row],[Current health expenditure per capita (current US$) '[SH.XPD.CHEX.PC.CD']]]</f>
        <v>1.799061365631428</v>
      </c>
      <c r="G696" s="4">
        <f>Table1[[#This Row],[Life expectancy at birth, total (years) '[SP.DYN.LE00.IN']]]/Table1[[#This Row],[Current health expenditure per capita (current US$) '[SH.XPD.CHEX.PC.CD']]]*1000</f>
        <v>1799.0613656314281</v>
      </c>
    </row>
    <row r="697" spans="1:7" x14ac:dyDescent="0.25">
      <c r="A697" s="5" t="s">
        <v>200</v>
      </c>
      <c r="B697" s="6" t="s">
        <v>48</v>
      </c>
      <c r="C697" s="5">
        <v>2018</v>
      </c>
      <c r="D697" s="7">
        <v>34.88978195</v>
      </c>
      <c r="E697" s="11">
        <v>59.042999999999999</v>
      </c>
      <c r="F697" s="10">
        <f>Table1[[#This Row],[Life expectancy at birth, total (years) '[SP.DYN.LE00.IN']]]/Table1[[#This Row],[Current health expenditure per capita (current US$) '[SH.XPD.CHEX.PC.CD']]]</f>
        <v>1.6922719690427874</v>
      </c>
      <c r="G697" s="4">
        <f>Table1[[#This Row],[Life expectancy at birth, total (years) '[SP.DYN.LE00.IN']]]/Table1[[#This Row],[Current health expenditure per capita (current US$) '[SH.XPD.CHEX.PC.CD']]]*1000</f>
        <v>1692.2719690427875</v>
      </c>
    </row>
    <row r="698" spans="1:7" x14ac:dyDescent="0.25">
      <c r="A698" s="5" t="s">
        <v>200</v>
      </c>
      <c r="B698" s="6" t="s">
        <v>48</v>
      </c>
      <c r="C698" s="5">
        <v>2019</v>
      </c>
      <c r="D698" s="7">
        <v>42.16910172</v>
      </c>
      <c r="E698" s="11">
        <v>59.378999999999998</v>
      </c>
      <c r="F698" s="10">
        <f>Table1[[#This Row],[Life expectancy at birth, total (years) '[SP.DYN.LE00.IN']]]/Table1[[#This Row],[Current health expenditure per capita (current US$) '[SH.XPD.CHEX.PC.CD']]]</f>
        <v>1.4081163121347133</v>
      </c>
      <c r="G698" s="4">
        <f>Table1[[#This Row],[Life expectancy at birth, total (years) '[SP.DYN.LE00.IN']]]/Table1[[#This Row],[Current health expenditure per capita (current US$) '[SH.XPD.CHEX.PC.CD']]]*1000</f>
        <v>1408.1163121347133</v>
      </c>
    </row>
    <row r="699" spans="1:7" x14ac:dyDescent="0.25">
      <c r="A699" s="5" t="s">
        <v>200</v>
      </c>
      <c r="B699" s="6" t="s">
        <v>48</v>
      </c>
      <c r="C699" s="5">
        <v>2020</v>
      </c>
      <c r="D699" s="7">
        <v>41.102756499999998</v>
      </c>
      <c r="E699" s="11">
        <v>59.35</v>
      </c>
      <c r="F699" s="10">
        <f>Table1[[#This Row],[Life expectancy at birth, total (years) '[SP.DYN.LE00.IN']]]/Table1[[#This Row],[Current health expenditure per capita (current US$) '[SH.XPD.CHEX.PC.CD']]]</f>
        <v>1.4439420869498134</v>
      </c>
      <c r="G699" s="4">
        <f>Table1[[#This Row],[Life expectancy at birth, total (years) '[SP.DYN.LE00.IN']]]/Table1[[#This Row],[Current health expenditure per capita (current US$) '[SH.XPD.CHEX.PC.CD']]]*1000</f>
        <v>1443.9420869498133</v>
      </c>
    </row>
    <row r="700" spans="1:7" x14ac:dyDescent="0.25">
      <c r="A700" s="5" t="s">
        <v>200</v>
      </c>
      <c r="B700" s="6" t="s">
        <v>48</v>
      </c>
      <c r="C700" s="5">
        <v>2021</v>
      </c>
      <c r="D700" s="7">
        <v>44.104763030000001</v>
      </c>
      <c r="E700" s="11">
        <v>59.372999999999998</v>
      </c>
      <c r="F700" s="10">
        <f>Table1[[#This Row],[Life expectancy at birth, total (years) '[SP.DYN.LE00.IN']]]/Table1[[#This Row],[Current health expenditure per capita (current US$) '[SH.XPD.CHEX.PC.CD']]]</f>
        <v>1.3461811360286544</v>
      </c>
      <c r="G700" s="4">
        <f>Table1[[#This Row],[Life expectancy at birth, total (years) '[SP.DYN.LE00.IN']]]/Table1[[#This Row],[Current health expenditure per capita (current US$) '[SH.XPD.CHEX.PC.CD']]]*1000</f>
        <v>1346.1811360286545</v>
      </c>
    </row>
    <row r="701" spans="1:7" x14ac:dyDescent="0.25">
      <c r="A701" s="5" t="s">
        <v>200</v>
      </c>
      <c r="B701" s="6" t="s">
        <v>48</v>
      </c>
      <c r="C701" s="5">
        <v>2022</v>
      </c>
      <c r="D701" s="7">
        <v>53.292228700000003</v>
      </c>
      <c r="E701" s="11">
        <v>60.432000000000002</v>
      </c>
      <c r="F701" s="10">
        <f>Table1[[#This Row],[Life expectancy at birth, total (years) '[SP.DYN.LE00.IN']]]/Table1[[#This Row],[Current health expenditure per capita (current US$) '[SH.XPD.CHEX.PC.CD']]]</f>
        <v>1.1339739672024638</v>
      </c>
      <c r="G701" s="4">
        <f>Table1[[#This Row],[Life expectancy at birth, total (years) '[SP.DYN.LE00.IN']]]/Table1[[#This Row],[Current health expenditure per capita (current US$) '[SH.XPD.CHEX.PC.CD']]]*1000</f>
        <v>1133.9739672024639</v>
      </c>
    </row>
    <row r="702" spans="1:7" x14ac:dyDescent="0.25">
      <c r="A702" s="5" t="s">
        <v>200</v>
      </c>
      <c r="B702" s="6" t="s">
        <v>48</v>
      </c>
      <c r="C702" s="5">
        <v>2023</v>
      </c>
      <c r="D702" s="7">
        <v>59.33010101</v>
      </c>
      <c r="E702" s="11">
        <v>60.74</v>
      </c>
      <c r="F702" s="10">
        <f>Table1[[#This Row],[Life expectancy at birth, total (years) '[SP.DYN.LE00.IN']]]/Table1[[#This Row],[Current health expenditure per capita (current US$) '[SH.XPD.CHEX.PC.CD']]]</f>
        <v>1.023763637108293</v>
      </c>
      <c r="G702" s="4">
        <f>Table1[[#This Row],[Life expectancy at birth, total (years) '[SP.DYN.LE00.IN']]]/Table1[[#This Row],[Current health expenditure per capita (current US$) '[SH.XPD.CHEX.PC.CD']]]*1000</f>
        <v>1023.763637108293</v>
      </c>
    </row>
    <row r="703" spans="1:7" hidden="1" x14ac:dyDescent="0.25">
      <c r="B703" s="1"/>
      <c r="D703" s="3"/>
      <c r="E703"/>
      <c r="F703" t="e">
        <f>Table1[[#This Row],[Life expectancy at birth, total (years) '[SP.DYN.LE00.IN']]]/Table1[[#This Row],[Current health expenditure per capita (current US$) '[SH.XPD.CHEX.PC.CD']]]</f>
        <v>#DIV/0!</v>
      </c>
      <c r="G703" s="2" t="e">
        <f>Table1[[#This Row],[Life expectancy at birth, total (years) '[SP.DYN.LE00.IN']]]/Table1[[#This Row],[Current health expenditure per capita (current US$) '[SH.XPD.CHEX.PC.CD']]]*1000</f>
        <v>#DIV/0!</v>
      </c>
    </row>
    <row r="704" spans="1:7" x14ac:dyDescent="0.25">
      <c r="A704" s="5" t="s">
        <v>72</v>
      </c>
      <c r="B704" s="6" t="s">
        <v>68</v>
      </c>
      <c r="C704" s="5">
        <v>2015</v>
      </c>
      <c r="D704" s="7">
        <v>52.458667759999997</v>
      </c>
      <c r="E704" s="11">
        <v>60.070999999999998</v>
      </c>
      <c r="F704" s="10">
        <f>Table1[[#This Row],[Life expectancy at birth, total (years) '[SP.DYN.LE00.IN']]]/Table1[[#This Row],[Current health expenditure per capita (current US$) '[SH.XPD.CHEX.PC.CD']]]</f>
        <v>1.1451110477076287</v>
      </c>
      <c r="G704" s="4">
        <f>Table1[[#This Row],[Life expectancy at birth, total (years) '[SP.DYN.LE00.IN']]]/Table1[[#This Row],[Current health expenditure per capita (current US$) '[SH.XPD.CHEX.PC.CD']]]*1000</f>
        <v>1145.1110477076288</v>
      </c>
    </row>
    <row r="705" spans="1:7" x14ac:dyDescent="0.25">
      <c r="A705" s="5" t="s">
        <v>72</v>
      </c>
      <c r="B705" s="6" t="s">
        <v>68</v>
      </c>
      <c r="C705" s="5">
        <v>2016</v>
      </c>
      <c r="D705" s="7">
        <v>56.608055110000002</v>
      </c>
      <c r="E705" s="11">
        <v>60.619</v>
      </c>
      <c r="F705" s="10">
        <f>Table1[[#This Row],[Life expectancy at birth, total (years) '[SP.DYN.LE00.IN']]]/Table1[[#This Row],[Current health expenditure per capita (current US$) '[SH.XPD.CHEX.PC.CD']]]</f>
        <v>1.0708546669233907</v>
      </c>
      <c r="G705" s="4">
        <f>Table1[[#This Row],[Life expectancy at birth, total (years) '[SP.DYN.LE00.IN']]]/Table1[[#This Row],[Current health expenditure per capita (current US$) '[SH.XPD.CHEX.PC.CD']]]*1000</f>
        <v>1070.8546669233906</v>
      </c>
    </row>
    <row r="706" spans="1:7" x14ac:dyDescent="0.25">
      <c r="A706" s="5" t="s">
        <v>72</v>
      </c>
      <c r="B706" s="6" t="s">
        <v>68</v>
      </c>
      <c r="C706" s="5">
        <v>2017</v>
      </c>
      <c r="D706" s="7">
        <v>54.822517400000002</v>
      </c>
      <c r="E706" s="11">
        <v>61.148000000000003</v>
      </c>
      <c r="F706" s="10">
        <f>Table1[[#This Row],[Life expectancy at birth, total (years) '[SP.DYN.LE00.IN']]]/Table1[[#This Row],[Current health expenditure per capita (current US$) '[SH.XPD.CHEX.PC.CD']]]</f>
        <v>1.1153811043343296</v>
      </c>
      <c r="G706" s="4">
        <f>Table1[[#This Row],[Life expectancy at birth, total (years) '[SP.DYN.LE00.IN']]]/Table1[[#This Row],[Current health expenditure per capita (current US$) '[SH.XPD.CHEX.PC.CD']]]*1000</f>
        <v>1115.3811043343296</v>
      </c>
    </row>
    <row r="707" spans="1:7" x14ac:dyDescent="0.25">
      <c r="A707" s="5" t="s">
        <v>72</v>
      </c>
      <c r="B707" s="6" t="s">
        <v>68</v>
      </c>
      <c r="C707" s="5">
        <v>2018</v>
      </c>
      <c r="D707" s="7">
        <v>58.874450680000002</v>
      </c>
      <c r="E707" s="11">
        <v>61.652000000000001</v>
      </c>
      <c r="F707" s="10">
        <f>Table1[[#This Row],[Life expectancy at birth, total (years) '[SP.DYN.LE00.IN']]]/Table1[[#This Row],[Current health expenditure per capita (current US$) '[SH.XPD.CHEX.PC.CD']]]</f>
        <v>1.0471774986928846</v>
      </c>
      <c r="G707" s="4">
        <f>Table1[[#This Row],[Life expectancy at birth, total (years) '[SP.DYN.LE00.IN']]]/Table1[[#This Row],[Current health expenditure per capita (current US$) '[SH.XPD.CHEX.PC.CD']]]*1000</f>
        <v>1047.1774986928845</v>
      </c>
    </row>
    <row r="708" spans="1:7" x14ac:dyDescent="0.25">
      <c r="A708" s="5" t="s">
        <v>72</v>
      </c>
      <c r="B708" s="6" t="s">
        <v>68</v>
      </c>
      <c r="C708" s="5">
        <v>2019</v>
      </c>
      <c r="D708" s="7">
        <v>53.983909609999998</v>
      </c>
      <c r="E708" s="11">
        <v>62.161000000000001</v>
      </c>
      <c r="F708" s="10">
        <f>Table1[[#This Row],[Life expectancy at birth, total (years) '[SP.DYN.LE00.IN']]]/Table1[[#This Row],[Current health expenditure per capita (current US$) '[SH.XPD.CHEX.PC.CD']]]</f>
        <v>1.151472734173467</v>
      </c>
      <c r="G708" s="4">
        <f>Table1[[#This Row],[Life expectancy at birth, total (years) '[SP.DYN.LE00.IN']]]/Table1[[#This Row],[Current health expenditure per capita (current US$) '[SH.XPD.CHEX.PC.CD']]]*1000</f>
        <v>1151.472734173467</v>
      </c>
    </row>
    <row r="709" spans="1:7" x14ac:dyDescent="0.25">
      <c r="A709" s="5" t="s">
        <v>72</v>
      </c>
      <c r="B709" s="6" t="s">
        <v>68</v>
      </c>
      <c r="C709" s="5">
        <v>2020</v>
      </c>
      <c r="D709" s="7">
        <v>67.887954710000002</v>
      </c>
      <c r="E709" s="11">
        <v>61.343000000000004</v>
      </c>
      <c r="F709" s="10">
        <f>Table1[[#This Row],[Life expectancy at birth, total (years) '[SP.DYN.LE00.IN']]]/Table1[[#This Row],[Current health expenditure per capita (current US$) '[SH.XPD.CHEX.PC.CD']]]</f>
        <v>0.90359181186178938</v>
      </c>
      <c r="G709" s="4">
        <f>Table1[[#This Row],[Life expectancy at birth, total (years) '[SP.DYN.LE00.IN']]]/Table1[[#This Row],[Current health expenditure per capita (current US$) '[SH.XPD.CHEX.PC.CD']]]*1000</f>
        <v>903.59181186178944</v>
      </c>
    </row>
    <row r="710" spans="1:7" x14ac:dyDescent="0.25">
      <c r="A710" s="5" t="s">
        <v>72</v>
      </c>
      <c r="B710" s="6" t="s">
        <v>68</v>
      </c>
      <c r="C710" s="5">
        <v>2021</v>
      </c>
      <c r="D710" s="7">
        <v>70.211891170000001</v>
      </c>
      <c r="E710" s="11">
        <v>61.652999999999999</v>
      </c>
      <c r="F710" s="10">
        <f>Table1[[#This Row],[Life expectancy at birth, total (years) '[SP.DYN.LE00.IN']]]/Table1[[#This Row],[Current health expenditure per capita (current US$) '[SH.XPD.CHEX.PC.CD']]]</f>
        <v>0.87809912213763264</v>
      </c>
      <c r="G710" s="4">
        <f>Table1[[#This Row],[Life expectancy at birth, total (years) '[SP.DYN.LE00.IN']]]/Table1[[#This Row],[Current health expenditure per capita (current US$) '[SH.XPD.CHEX.PC.CD']]]*1000</f>
        <v>878.09912213763266</v>
      </c>
    </row>
    <row r="711" spans="1:7" x14ac:dyDescent="0.25">
      <c r="A711" s="5" t="s">
        <v>72</v>
      </c>
      <c r="B711" s="6" t="s">
        <v>68</v>
      </c>
      <c r="C711" s="5">
        <v>2022</v>
      </c>
      <c r="D711" s="7">
        <v>68.010490419999996</v>
      </c>
      <c r="E711" s="11">
        <v>63.604999999999997</v>
      </c>
      <c r="F711" s="10">
        <f>Table1[[#This Row],[Life expectancy at birth, total (years) '[SP.DYN.LE00.IN']]]/Table1[[#This Row],[Current health expenditure per capita (current US$) '[SH.XPD.CHEX.PC.CD']]]</f>
        <v>0.93522336932444072</v>
      </c>
      <c r="G711" s="4">
        <f>Table1[[#This Row],[Life expectancy at birth, total (years) '[SP.DYN.LE00.IN']]]/Table1[[#This Row],[Current health expenditure per capita (current US$) '[SH.XPD.CHEX.PC.CD']]]*1000</f>
        <v>935.22336932444068</v>
      </c>
    </row>
    <row r="712" spans="1:7" x14ac:dyDescent="0.25">
      <c r="A712" s="5" t="s">
        <v>72</v>
      </c>
      <c r="B712" s="6" t="s">
        <v>68</v>
      </c>
      <c r="C712" s="5">
        <v>2023</v>
      </c>
      <c r="D712" s="7">
        <v>82.135437010000004</v>
      </c>
      <c r="E712" s="11">
        <v>64.084999999999994</v>
      </c>
      <c r="F712" s="10">
        <f>Table1[[#This Row],[Life expectancy at birth, total (years) '[SP.DYN.LE00.IN']]]/Table1[[#This Row],[Current health expenditure per capita (current US$) '[SH.XPD.CHEX.PC.CD']]]</f>
        <v>0.78023569768305534</v>
      </c>
      <c r="G712" s="4">
        <f>Table1[[#This Row],[Life expectancy at birth, total (years) '[SP.DYN.LE00.IN']]]/Table1[[#This Row],[Current health expenditure per capita (current US$) '[SH.XPD.CHEX.PC.CD']]]*1000</f>
        <v>780.23569768305538</v>
      </c>
    </row>
    <row r="713" spans="1:7" hidden="1" x14ac:dyDescent="0.25">
      <c r="B713" s="1"/>
      <c r="D713" s="3"/>
      <c r="E713"/>
      <c r="F713" t="e">
        <f>Table1[[#This Row],[Life expectancy at birth, total (years) '[SP.DYN.LE00.IN']]]/Table1[[#This Row],[Current health expenditure per capita (current US$) '[SH.XPD.CHEX.PC.CD']]]</f>
        <v>#DIV/0!</v>
      </c>
      <c r="G713" s="2" t="e">
        <f>Table1[[#This Row],[Life expectancy at birth, total (years) '[SP.DYN.LE00.IN']]]/Table1[[#This Row],[Current health expenditure per capita (current US$) '[SH.XPD.CHEX.PC.CD']]]*1000</f>
        <v>#DIV/0!</v>
      </c>
    </row>
    <row r="714" spans="1:7" x14ac:dyDescent="0.25">
      <c r="A714" s="5" t="s">
        <v>125</v>
      </c>
      <c r="B714" s="6" t="s">
        <v>260</v>
      </c>
      <c r="C714" s="5">
        <v>2015</v>
      </c>
      <c r="D714" s="7">
        <v>226.89404296999999</v>
      </c>
      <c r="E714" s="11">
        <v>67.718999999999994</v>
      </c>
      <c r="F714" s="10">
        <f>Table1[[#This Row],[Life expectancy at birth, total (years) '[SP.DYN.LE00.IN']]]/Table1[[#This Row],[Current health expenditure per capita (current US$) '[SH.XPD.CHEX.PC.CD']]]</f>
        <v>0.2984608988123757</v>
      </c>
      <c r="G714" s="4">
        <f>Table1[[#This Row],[Life expectancy at birth, total (years) '[SP.DYN.LE00.IN']]]/Table1[[#This Row],[Current health expenditure per capita (current US$) '[SH.XPD.CHEX.PC.CD']]]*1000</f>
        <v>298.46089881237572</v>
      </c>
    </row>
    <row r="715" spans="1:7" x14ac:dyDescent="0.25">
      <c r="A715" s="5" t="s">
        <v>125</v>
      </c>
      <c r="B715" s="6" t="s">
        <v>260</v>
      </c>
      <c r="C715" s="5">
        <v>2016</v>
      </c>
      <c r="D715" s="7">
        <v>235.91662597999999</v>
      </c>
      <c r="E715" s="11">
        <v>68.069000000000003</v>
      </c>
      <c r="F715" s="10">
        <f>Table1[[#This Row],[Life expectancy at birth, total (years) '[SP.DYN.LE00.IN']]]/Table1[[#This Row],[Current health expenditure per capita (current US$) '[SH.XPD.CHEX.PC.CD']]]</f>
        <v>0.28852989787065964</v>
      </c>
      <c r="G715" s="4">
        <f>Table1[[#This Row],[Life expectancy at birth, total (years) '[SP.DYN.LE00.IN']]]/Table1[[#This Row],[Current health expenditure per capita (current US$) '[SH.XPD.CHEX.PC.CD']]]*1000</f>
        <v>288.52989787065962</v>
      </c>
    </row>
    <row r="716" spans="1:7" x14ac:dyDescent="0.25">
      <c r="A716" s="5" t="s">
        <v>125</v>
      </c>
      <c r="B716" s="6" t="s">
        <v>260</v>
      </c>
      <c r="C716" s="5">
        <v>2017</v>
      </c>
      <c r="D716" s="7">
        <v>266.86364745999998</v>
      </c>
      <c r="E716" s="11">
        <v>68.543000000000006</v>
      </c>
      <c r="F716" s="10">
        <f>Table1[[#This Row],[Life expectancy at birth, total (years) '[SP.DYN.LE00.IN']]]/Table1[[#This Row],[Current health expenditure per capita (current US$) '[SH.XPD.CHEX.PC.CD']]]</f>
        <v>0.25684652313040829</v>
      </c>
      <c r="G716" s="4">
        <f>Table1[[#This Row],[Life expectancy at birth, total (years) '[SP.DYN.LE00.IN']]]/Table1[[#This Row],[Current health expenditure per capita (current US$) '[SH.XPD.CHEX.PC.CD']]]*1000</f>
        <v>256.84652313040829</v>
      </c>
    </row>
    <row r="717" spans="1:7" x14ac:dyDescent="0.25">
      <c r="A717" s="5" t="s">
        <v>125</v>
      </c>
      <c r="B717" s="6" t="s">
        <v>260</v>
      </c>
      <c r="C717" s="5">
        <v>2018</v>
      </c>
      <c r="D717" s="7">
        <v>296.66903687000001</v>
      </c>
      <c r="E717" s="11">
        <v>68.828999999999994</v>
      </c>
      <c r="F717" s="10">
        <f>Table1[[#This Row],[Life expectancy at birth, total (years) '[SP.DYN.LE00.IN']]]/Table1[[#This Row],[Current health expenditure per capita (current US$) '[SH.XPD.CHEX.PC.CD']]]</f>
        <v>0.23200601156824052</v>
      </c>
      <c r="G717" s="4">
        <f>Table1[[#This Row],[Life expectancy at birth, total (years) '[SP.DYN.LE00.IN']]]/Table1[[#This Row],[Current health expenditure per capita (current US$) '[SH.XPD.CHEX.PC.CD']]]*1000</f>
        <v>232.00601156824052</v>
      </c>
    </row>
    <row r="718" spans="1:7" x14ac:dyDescent="0.25">
      <c r="A718" s="5" t="s">
        <v>125</v>
      </c>
      <c r="B718" s="6" t="s">
        <v>260</v>
      </c>
      <c r="C718" s="5">
        <v>2019</v>
      </c>
      <c r="D718" s="7">
        <v>314.09774779999998</v>
      </c>
      <c r="E718" s="11">
        <v>69.066999999999993</v>
      </c>
      <c r="F718" s="10">
        <f>Table1[[#This Row],[Life expectancy at birth, total (years) '[SP.DYN.LE00.IN']]]/Table1[[#This Row],[Current health expenditure per capita (current US$) '[SH.XPD.CHEX.PC.CD']]]</f>
        <v>0.21989014720340505</v>
      </c>
      <c r="G718" s="4">
        <f>Table1[[#This Row],[Life expectancy at birth, total (years) '[SP.DYN.LE00.IN']]]/Table1[[#This Row],[Current health expenditure per capita (current US$) '[SH.XPD.CHEX.PC.CD']]]*1000</f>
        <v>219.89014720340506</v>
      </c>
    </row>
    <row r="719" spans="1:7" x14ac:dyDescent="0.25">
      <c r="A719" s="5" t="s">
        <v>125</v>
      </c>
      <c r="B719" s="6" t="s">
        <v>260</v>
      </c>
      <c r="C719" s="5">
        <v>2020</v>
      </c>
      <c r="D719" s="7">
        <v>364.20135498000002</v>
      </c>
      <c r="E719" s="11">
        <v>67.751000000000005</v>
      </c>
      <c r="F719" s="10">
        <f>Table1[[#This Row],[Life expectancy at birth, total (years) '[SP.DYN.LE00.IN']]]/Table1[[#This Row],[Current health expenditure per capita (current US$) '[SH.XPD.CHEX.PC.CD']]]</f>
        <v>0.1860262161949412</v>
      </c>
      <c r="G719" s="4">
        <f>Table1[[#This Row],[Life expectancy at birth, total (years) '[SP.DYN.LE00.IN']]]/Table1[[#This Row],[Current health expenditure per capita (current US$) '[SH.XPD.CHEX.PC.CD']]]*1000</f>
        <v>186.02621619494118</v>
      </c>
    </row>
    <row r="720" spans="1:7" x14ac:dyDescent="0.25">
      <c r="A720" s="5" t="s">
        <v>125</v>
      </c>
      <c r="B720" s="6" t="s">
        <v>260</v>
      </c>
      <c r="C720" s="5">
        <v>2021</v>
      </c>
      <c r="D720" s="7">
        <v>457.86633301000001</v>
      </c>
      <c r="E720" s="11">
        <v>64.322999999999993</v>
      </c>
      <c r="F720" s="10">
        <f>Table1[[#This Row],[Life expectancy at birth, total (years) '[SP.DYN.LE00.IN']]]/Table1[[#This Row],[Current health expenditure per capita (current US$) '[SH.XPD.CHEX.PC.CD']]]</f>
        <v>0.14048423166897303</v>
      </c>
      <c r="G720" s="4">
        <f>Table1[[#This Row],[Life expectancy at birth, total (years) '[SP.DYN.LE00.IN']]]/Table1[[#This Row],[Current health expenditure per capita (current US$) '[SH.XPD.CHEX.PC.CD']]]*1000</f>
        <v>140.48423166897302</v>
      </c>
    </row>
    <row r="721" spans="1:7" x14ac:dyDescent="0.25">
      <c r="A721" s="5" t="s">
        <v>125</v>
      </c>
      <c r="B721" s="6" t="s">
        <v>260</v>
      </c>
      <c r="C721" s="5">
        <v>2022</v>
      </c>
      <c r="D721" s="7">
        <v>452.23754882999998</v>
      </c>
      <c r="E721" s="11">
        <v>69.888000000000005</v>
      </c>
      <c r="F721" s="10">
        <f>Table1[[#This Row],[Life expectancy at birth, total (years) '[SP.DYN.LE00.IN']]]/Table1[[#This Row],[Current health expenditure per capita (current US$) '[SH.XPD.CHEX.PC.CD']]]</f>
        <v>0.15453825136990451</v>
      </c>
      <c r="G721" s="4">
        <f>Table1[[#This Row],[Life expectancy at birth, total (years) '[SP.DYN.LE00.IN']]]/Table1[[#This Row],[Current health expenditure per capita (current US$) '[SH.XPD.CHEX.PC.CD']]]*1000</f>
        <v>154.53825136990451</v>
      </c>
    </row>
    <row r="722" spans="1:7" x14ac:dyDescent="0.25">
      <c r="A722" s="5" t="s">
        <v>125</v>
      </c>
      <c r="B722" s="6" t="s">
        <v>260</v>
      </c>
      <c r="C722" s="5">
        <v>2023</v>
      </c>
      <c r="D722" s="7">
        <v>505.03240966999999</v>
      </c>
      <c r="E722" s="11">
        <v>70.180000000000007</v>
      </c>
      <c r="F722" s="10">
        <f>Table1[[#This Row],[Life expectancy at birth, total (years) '[SP.DYN.LE00.IN']]]/Table1[[#This Row],[Current health expenditure per capita (current US$) '[SH.XPD.CHEX.PC.CD']]]</f>
        <v>0.13896137882687026</v>
      </c>
      <c r="G722" s="4">
        <f>Table1[[#This Row],[Life expectancy at birth, total (years) '[SP.DYN.LE00.IN']]]/Table1[[#This Row],[Current health expenditure per capita (current US$) '[SH.XPD.CHEX.PC.CD']]]*1000</f>
        <v>138.96137882687026</v>
      </c>
    </row>
    <row r="723" spans="1:7" hidden="1" x14ac:dyDescent="0.25">
      <c r="B723" s="1"/>
      <c r="D723" s="3"/>
      <c r="E723"/>
      <c r="F723" t="e">
        <f>Table1[[#This Row],[Life expectancy at birth, total (years) '[SP.DYN.LE00.IN']]]/Table1[[#This Row],[Current health expenditure per capita (current US$) '[SH.XPD.CHEX.PC.CD']]]</f>
        <v>#DIV/0!</v>
      </c>
      <c r="G723" s="2" t="e">
        <f>Table1[[#This Row],[Life expectancy at birth, total (years) '[SP.DYN.LE00.IN']]]/Table1[[#This Row],[Current health expenditure per capita (current US$) '[SH.XPD.CHEX.PC.CD']]]*1000</f>
        <v>#DIV/0!</v>
      </c>
    </row>
    <row r="724" spans="1:7" x14ac:dyDescent="0.25">
      <c r="A724" s="5" t="s">
        <v>186</v>
      </c>
      <c r="B724" s="6" t="s">
        <v>23</v>
      </c>
      <c r="C724" s="5">
        <v>2015</v>
      </c>
      <c r="D724" s="7">
        <v>68.505477909999996</v>
      </c>
      <c r="E724" s="11">
        <v>63.223999999999997</v>
      </c>
      <c r="F724" s="10">
        <f>Table1[[#This Row],[Life expectancy at birth, total (years) '[SP.DYN.LE00.IN']]]/Table1[[#This Row],[Current health expenditure per capita (current US$) '[SH.XPD.CHEX.PC.CD']]]</f>
        <v>0.92290429800462659</v>
      </c>
      <c r="G724" s="4">
        <f>Table1[[#This Row],[Life expectancy at birth, total (years) '[SP.DYN.LE00.IN']]]/Table1[[#This Row],[Current health expenditure per capita (current US$) '[SH.XPD.CHEX.PC.CD']]]*1000</f>
        <v>922.90429800462664</v>
      </c>
    </row>
    <row r="725" spans="1:7" x14ac:dyDescent="0.25">
      <c r="A725" s="5" t="s">
        <v>186</v>
      </c>
      <c r="B725" s="6" t="s">
        <v>23</v>
      </c>
      <c r="C725" s="5">
        <v>2016</v>
      </c>
      <c r="D725" s="7">
        <v>60.06819153</v>
      </c>
      <c r="E725" s="11">
        <v>63.325000000000003</v>
      </c>
      <c r="F725" s="10">
        <f>Table1[[#This Row],[Life expectancy at birth, total (years) '[SP.DYN.LE00.IN']]]/Table1[[#This Row],[Current health expenditure per capita (current US$) '[SH.XPD.CHEX.PC.CD']]]</f>
        <v>1.0542185204356194</v>
      </c>
      <c r="G725" s="4">
        <f>Table1[[#This Row],[Life expectancy at birth, total (years) '[SP.DYN.LE00.IN']]]/Table1[[#This Row],[Current health expenditure per capita (current US$) '[SH.XPD.CHEX.PC.CD']]]*1000</f>
        <v>1054.2185204356194</v>
      </c>
    </row>
    <row r="726" spans="1:7" x14ac:dyDescent="0.25">
      <c r="A726" s="5" t="s">
        <v>186</v>
      </c>
      <c r="B726" s="6" t="s">
        <v>23</v>
      </c>
      <c r="C726" s="5">
        <v>2017</v>
      </c>
      <c r="D726" s="7">
        <v>53.805797579999997</v>
      </c>
      <c r="E726" s="11">
        <v>63.832000000000001</v>
      </c>
      <c r="F726" s="10">
        <f>Table1[[#This Row],[Life expectancy at birth, total (years) '[SP.DYN.LE00.IN']]]/Table1[[#This Row],[Current health expenditure per capita (current US$) '[SH.XPD.CHEX.PC.CD']]]</f>
        <v>1.1863405593996217</v>
      </c>
      <c r="G726" s="4">
        <f>Table1[[#This Row],[Life expectancy at birth, total (years) '[SP.DYN.LE00.IN']]]/Table1[[#This Row],[Current health expenditure per capita (current US$) '[SH.XPD.CHEX.PC.CD']]]*1000</f>
        <v>1186.3405593996217</v>
      </c>
    </row>
    <row r="727" spans="1:7" x14ac:dyDescent="0.25">
      <c r="A727" s="5" t="s">
        <v>186</v>
      </c>
      <c r="B727" s="6" t="s">
        <v>23</v>
      </c>
      <c r="C727" s="5">
        <v>2018</v>
      </c>
      <c r="D727" s="7">
        <v>62.30102539</v>
      </c>
      <c r="E727" s="11">
        <v>64.076999999999998</v>
      </c>
      <c r="F727" s="10">
        <f>Table1[[#This Row],[Life expectancy at birth, total (years) '[SP.DYN.LE00.IN']]]/Table1[[#This Row],[Current health expenditure per capita (current US$) '[SH.XPD.CHEX.PC.CD']]]</f>
        <v>1.0285063463864763</v>
      </c>
      <c r="G727" s="4">
        <f>Table1[[#This Row],[Life expectancy at birth, total (years) '[SP.DYN.LE00.IN']]]/Table1[[#This Row],[Current health expenditure per capita (current US$) '[SH.XPD.CHEX.PC.CD']]]*1000</f>
        <v>1028.5063463864763</v>
      </c>
    </row>
    <row r="728" spans="1:7" x14ac:dyDescent="0.25">
      <c r="A728" s="5" t="s">
        <v>186</v>
      </c>
      <c r="B728" s="6" t="s">
        <v>23</v>
      </c>
      <c r="C728" s="5">
        <v>2019</v>
      </c>
      <c r="D728" s="7">
        <v>49.329959870000003</v>
      </c>
      <c r="E728" s="11">
        <v>64.328000000000003</v>
      </c>
      <c r="F728" s="10">
        <f>Table1[[#This Row],[Life expectancy at birth, total (years) '[SP.DYN.LE00.IN']]]/Table1[[#This Row],[Current health expenditure per capita (current US$) '[SH.XPD.CHEX.PC.CD']]]</f>
        <v>1.3040351171889164</v>
      </c>
      <c r="G728" s="4">
        <f>Table1[[#This Row],[Life expectancy at birth, total (years) '[SP.DYN.LE00.IN']]]/Table1[[#This Row],[Current health expenditure per capita (current US$) '[SH.XPD.CHEX.PC.CD']]]*1000</f>
        <v>1304.0351171889165</v>
      </c>
    </row>
    <row r="729" spans="1:7" x14ac:dyDescent="0.25">
      <c r="A729" s="5" t="s">
        <v>186</v>
      </c>
      <c r="B729" s="6" t="s">
        <v>23</v>
      </c>
      <c r="C729" s="5">
        <v>2020</v>
      </c>
      <c r="D729" s="7">
        <v>52.215869900000001</v>
      </c>
      <c r="E729" s="11">
        <v>63.773000000000003</v>
      </c>
      <c r="F729" s="10">
        <f>Table1[[#This Row],[Life expectancy at birth, total (years) '[SP.DYN.LE00.IN']]]/Table1[[#This Row],[Current health expenditure per capita (current US$) '[SH.XPD.CHEX.PC.CD']]]</f>
        <v>1.2213336696704158</v>
      </c>
      <c r="G729" s="4">
        <f>Table1[[#This Row],[Life expectancy at birth, total (years) '[SP.DYN.LE00.IN']]]/Table1[[#This Row],[Current health expenditure per capita (current US$) '[SH.XPD.CHEX.PC.CD']]]*1000</f>
        <v>1221.3336696704157</v>
      </c>
    </row>
    <row r="730" spans="1:7" x14ac:dyDescent="0.25">
      <c r="A730" s="5" t="s">
        <v>186</v>
      </c>
      <c r="B730" s="6" t="s">
        <v>23</v>
      </c>
      <c r="C730" s="5">
        <v>2021</v>
      </c>
      <c r="D730" s="7">
        <v>59.894062040000001</v>
      </c>
      <c r="E730" s="11">
        <v>62.613</v>
      </c>
      <c r="F730" s="10">
        <f>Table1[[#This Row],[Life expectancy at birth, total (years) '[SP.DYN.LE00.IN']]]/Table1[[#This Row],[Current health expenditure per capita (current US$) '[SH.XPD.CHEX.PC.CD']]]</f>
        <v>1.0453957849474989</v>
      </c>
      <c r="G730" s="4">
        <f>Table1[[#This Row],[Life expectancy at birth, total (years) '[SP.DYN.LE00.IN']]]/Table1[[#This Row],[Current health expenditure per capita (current US$) '[SH.XPD.CHEX.PC.CD']]]*1000</f>
        <v>1045.3957849474989</v>
      </c>
    </row>
    <row r="731" spans="1:7" x14ac:dyDescent="0.25">
      <c r="A731" s="5" t="s">
        <v>186</v>
      </c>
      <c r="B731" s="6" t="s">
        <v>23</v>
      </c>
      <c r="C731" s="5">
        <v>2022</v>
      </c>
      <c r="D731" s="7">
        <v>52.284175869999999</v>
      </c>
      <c r="E731" s="11">
        <v>63.948</v>
      </c>
      <c r="F731" s="10">
        <f>Table1[[#This Row],[Life expectancy at birth, total (years) '[SP.DYN.LE00.IN']]]/Table1[[#This Row],[Current health expenditure per capita (current US$) '[SH.XPD.CHEX.PC.CD']]]</f>
        <v>1.2230851674701935</v>
      </c>
      <c r="G731" s="4">
        <f>Table1[[#This Row],[Life expectancy at birth, total (years) '[SP.DYN.LE00.IN']]]/Table1[[#This Row],[Current health expenditure per capita (current US$) '[SH.XPD.CHEX.PC.CD']]]*1000</f>
        <v>1223.0851674701935</v>
      </c>
    </row>
    <row r="732" spans="1:7" x14ac:dyDescent="0.25">
      <c r="A732" s="5" t="s">
        <v>186</v>
      </c>
      <c r="B732" s="6" t="s">
        <v>23</v>
      </c>
      <c r="C732" s="5">
        <v>2023</v>
      </c>
      <c r="D732" s="7">
        <v>54.414684299999998</v>
      </c>
      <c r="E732" s="11">
        <v>64.936000000000007</v>
      </c>
      <c r="F732" s="10">
        <f>Table1[[#This Row],[Life expectancy at birth, total (years) '[SP.DYN.LE00.IN']]]/Table1[[#This Row],[Current health expenditure per capita (current US$) '[SH.XPD.CHEX.PC.CD']]]</f>
        <v>1.1933543460804386</v>
      </c>
      <c r="G732" s="4">
        <f>Table1[[#This Row],[Life expectancy at birth, total (years) '[SP.DYN.LE00.IN']]]/Table1[[#This Row],[Current health expenditure per capita (current US$) '[SH.XPD.CHEX.PC.CD']]]*1000</f>
        <v>1193.3543460804385</v>
      </c>
    </row>
    <row r="733" spans="1:7" hidden="1" x14ac:dyDescent="0.25">
      <c r="B733" s="1"/>
      <c r="D733" s="3"/>
      <c r="E733"/>
      <c r="F733" t="e">
        <f>Table1[[#This Row],[Life expectancy at birth, total (years) '[SP.DYN.LE00.IN']]]/Table1[[#This Row],[Current health expenditure per capita (current US$) '[SH.XPD.CHEX.PC.CD']]]</f>
        <v>#DIV/0!</v>
      </c>
      <c r="G733" s="2" t="e">
        <f>Table1[[#This Row],[Life expectancy at birth, total (years) '[SP.DYN.LE00.IN']]]/Table1[[#This Row],[Current health expenditure per capita (current US$) '[SH.XPD.CHEX.PC.CD']]]*1000</f>
        <v>#DIV/0!</v>
      </c>
    </row>
    <row r="734" spans="1:7" x14ac:dyDescent="0.25">
      <c r="A734" s="5" t="s">
        <v>248</v>
      </c>
      <c r="B734" s="6" t="s">
        <v>5</v>
      </c>
      <c r="C734" s="5">
        <v>2015</v>
      </c>
      <c r="D734" s="7">
        <v>169.97198485999999</v>
      </c>
      <c r="E734" s="11">
        <v>71.322999999999993</v>
      </c>
      <c r="F734" s="10">
        <f>Table1[[#This Row],[Life expectancy at birth, total (years) '[SP.DYN.LE00.IN']]]/Table1[[#This Row],[Current health expenditure per capita (current US$) '[SH.XPD.CHEX.PC.CD']]]</f>
        <v>0.41961620945208272</v>
      </c>
      <c r="G734" s="4">
        <f>Table1[[#This Row],[Life expectancy at birth, total (years) '[SP.DYN.LE00.IN']]]/Table1[[#This Row],[Current health expenditure per capita (current US$) '[SH.XPD.CHEX.PC.CD']]]*1000</f>
        <v>419.61620945208273</v>
      </c>
    </row>
    <row r="735" spans="1:7" x14ac:dyDescent="0.25">
      <c r="A735" s="5" t="s">
        <v>248</v>
      </c>
      <c r="B735" s="6" t="s">
        <v>5</v>
      </c>
      <c r="C735" s="5">
        <v>2016</v>
      </c>
      <c r="D735" s="7">
        <v>177.8835144</v>
      </c>
      <c r="E735" s="11">
        <v>71.614999999999995</v>
      </c>
      <c r="F735" s="10">
        <f>Table1[[#This Row],[Life expectancy at birth, total (years) '[SP.DYN.LE00.IN']]]/Table1[[#This Row],[Current health expenditure per capita (current US$) '[SH.XPD.CHEX.PC.CD']]]</f>
        <v>0.40259492422081355</v>
      </c>
      <c r="G735" s="4">
        <f>Table1[[#This Row],[Life expectancy at birth, total (years) '[SP.DYN.LE00.IN']]]/Table1[[#This Row],[Current health expenditure per capita (current US$) '[SH.XPD.CHEX.PC.CD']]]*1000</f>
        <v>402.59492422081354</v>
      </c>
    </row>
    <row r="736" spans="1:7" x14ac:dyDescent="0.25">
      <c r="A736" s="5" t="s">
        <v>248</v>
      </c>
      <c r="B736" s="6" t="s">
        <v>5</v>
      </c>
      <c r="C736" s="5">
        <v>2017</v>
      </c>
      <c r="D736" s="7">
        <v>169.07194519000001</v>
      </c>
      <c r="E736" s="11">
        <v>71.805000000000007</v>
      </c>
      <c r="F736" s="10">
        <f>Table1[[#This Row],[Life expectancy at birth, total (years) '[SP.DYN.LE00.IN']]]/Table1[[#This Row],[Current health expenditure per capita (current US$) '[SH.XPD.CHEX.PC.CD']]]</f>
        <v>0.42470085690033815</v>
      </c>
      <c r="G736" s="4">
        <f>Table1[[#This Row],[Life expectancy at birth, total (years) '[SP.DYN.LE00.IN']]]/Table1[[#This Row],[Current health expenditure per capita (current US$) '[SH.XPD.CHEX.PC.CD']]]*1000</f>
        <v>424.70085690033818</v>
      </c>
    </row>
    <row r="737" spans="1:7" x14ac:dyDescent="0.25">
      <c r="A737" s="5" t="s">
        <v>248</v>
      </c>
      <c r="B737" s="6" t="s">
        <v>5</v>
      </c>
      <c r="C737" s="5">
        <v>2018</v>
      </c>
      <c r="D737" s="7">
        <v>178.14947509999999</v>
      </c>
      <c r="E737" s="11">
        <v>72.001000000000005</v>
      </c>
      <c r="F737" s="10">
        <f>Table1[[#This Row],[Life expectancy at birth, total (years) '[SP.DYN.LE00.IN']]]/Table1[[#This Row],[Current health expenditure per capita (current US$) '[SH.XPD.CHEX.PC.CD']]]</f>
        <v>0.40416060703846557</v>
      </c>
      <c r="G737" s="4">
        <f>Table1[[#This Row],[Life expectancy at birth, total (years) '[SP.DYN.LE00.IN']]]/Table1[[#This Row],[Current health expenditure per capita (current US$) '[SH.XPD.CHEX.PC.CD']]]*1000</f>
        <v>404.16060703846557</v>
      </c>
    </row>
    <row r="738" spans="1:7" x14ac:dyDescent="0.25">
      <c r="A738" s="5" t="s">
        <v>248</v>
      </c>
      <c r="B738" s="6" t="s">
        <v>5</v>
      </c>
      <c r="C738" s="5">
        <v>2019</v>
      </c>
      <c r="D738" s="7">
        <v>183.75006103999999</v>
      </c>
      <c r="E738" s="11">
        <v>72.123999999999995</v>
      </c>
      <c r="F738" s="10">
        <f>Table1[[#This Row],[Life expectancy at birth, total (years) '[SP.DYN.LE00.IN']]]/Table1[[#This Row],[Current health expenditure per capita (current US$) '[SH.XPD.CHEX.PC.CD']]]</f>
        <v>0.39251143423729007</v>
      </c>
      <c r="G738" s="4">
        <f>Table1[[#This Row],[Life expectancy at birth, total (years) '[SP.DYN.LE00.IN']]]/Table1[[#This Row],[Current health expenditure per capita (current US$) '[SH.XPD.CHEX.PC.CD']]]*1000</f>
        <v>392.51143423729008</v>
      </c>
    </row>
    <row r="739" spans="1:7" x14ac:dyDescent="0.25">
      <c r="A739" s="5" t="s">
        <v>248</v>
      </c>
      <c r="B739" s="6" t="s">
        <v>5</v>
      </c>
      <c r="C739" s="5">
        <v>2020</v>
      </c>
      <c r="D739" s="7">
        <v>212.7419281</v>
      </c>
      <c r="E739" s="11">
        <v>70.864000000000004</v>
      </c>
      <c r="F739" s="10">
        <f>Table1[[#This Row],[Life expectancy at birth, total (years) '[SP.DYN.LE00.IN']]]/Table1[[#This Row],[Current health expenditure per capita (current US$) '[SH.XPD.CHEX.PC.CD']]]</f>
        <v>0.33309841944597851</v>
      </c>
      <c r="G739" s="4">
        <f>Table1[[#This Row],[Life expectancy at birth, total (years) '[SP.DYN.LE00.IN']]]/Table1[[#This Row],[Current health expenditure per capita (current US$) '[SH.XPD.CHEX.PC.CD']]]*1000</f>
        <v>333.09841944597849</v>
      </c>
    </row>
    <row r="740" spans="1:7" x14ac:dyDescent="0.25">
      <c r="A740" s="5" t="s">
        <v>248</v>
      </c>
      <c r="B740" s="6" t="s">
        <v>5</v>
      </c>
      <c r="C740" s="5">
        <v>2021</v>
      </c>
      <c r="D740" s="7">
        <v>253.63349915000001</v>
      </c>
      <c r="E740" s="11">
        <v>69.492000000000004</v>
      </c>
      <c r="F740" s="10">
        <f>Table1[[#This Row],[Life expectancy at birth, total (years) '[SP.DYN.LE00.IN']]]/Table1[[#This Row],[Current health expenditure per capita (current US$) '[SH.XPD.CHEX.PC.CD']]]</f>
        <v>0.27398589000620188</v>
      </c>
      <c r="G740" s="4">
        <f>Table1[[#This Row],[Life expectancy at birth, total (years) '[SP.DYN.LE00.IN']]]/Table1[[#This Row],[Current health expenditure per capita (current US$) '[SH.XPD.CHEX.PC.CD']]]*1000</f>
        <v>273.98589000620188</v>
      </c>
    </row>
    <row r="741" spans="1:7" x14ac:dyDescent="0.25">
      <c r="A741" s="5" t="s">
        <v>248</v>
      </c>
      <c r="B741" s="6" t="s">
        <v>5</v>
      </c>
      <c r="C741" s="5">
        <v>2022</v>
      </c>
      <c r="D741" s="7">
        <v>244.90408325000001</v>
      </c>
      <c r="E741" s="11">
        <v>72.715000000000003</v>
      </c>
      <c r="F741" s="10">
        <f>Table1[[#This Row],[Life expectancy at birth, total (years) '[SP.DYN.LE00.IN']]]/Table1[[#This Row],[Current health expenditure per capita (current US$) '[SH.XPD.CHEX.PC.CD']]]</f>
        <v>0.29691215856851172</v>
      </c>
      <c r="G741" s="4">
        <f>Table1[[#This Row],[Life expectancy at birth, total (years) '[SP.DYN.LE00.IN']]]/Table1[[#This Row],[Current health expenditure per capita (current US$) '[SH.XPD.CHEX.PC.CD']]]*1000</f>
        <v>296.9121585685117</v>
      </c>
    </row>
    <row r="742" spans="1:7" x14ac:dyDescent="0.25">
      <c r="A742" s="5" t="s">
        <v>248</v>
      </c>
      <c r="B742" s="6" t="s">
        <v>5</v>
      </c>
      <c r="C742" s="5">
        <v>2023</v>
      </c>
      <c r="D742" s="7">
        <v>249.15301514000001</v>
      </c>
      <c r="E742" s="11">
        <v>72.884</v>
      </c>
      <c r="F742" s="10">
        <f>Table1[[#This Row],[Life expectancy at birth, total (years) '[SP.DYN.LE00.IN']]]/Table1[[#This Row],[Current health expenditure per capita (current US$) '[SH.XPD.CHEX.PC.CD']]]</f>
        <v>0.29252706397731615</v>
      </c>
      <c r="G742" s="4">
        <f>Table1[[#This Row],[Life expectancy at birth, total (years) '[SP.DYN.LE00.IN']]]/Table1[[#This Row],[Current health expenditure per capita (current US$) '[SH.XPD.CHEX.PC.CD']]]*1000</f>
        <v>292.52706397731617</v>
      </c>
    </row>
    <row r="743" spans="1:7" hidden="1" x14ac:dyDescent="0.25">
      <c r="B743" s="1"/>
      <c r="D743" s="3"/>
      <c r="E743"/>
      <c r="F743" t="e">
        <f>Table1[[#This Row],[Life expectancy at birth, total (years) '[SP.DYN.LE00.IN']]]/Table1[[#This Row],[Current health expenditure per capita (current US$) '[SH.XPD.CHEX.PC.CD']]]</f>
        <v>#DIV/0!</v>
      </c>
      <c r="G743" s="2" t="e">
        <f>Table1[[#This Row],[Life expectancy at birth, total (years) '[SP.DYN.LE00.IN']]]/Table1[[#This Row],[Current health expenditure per capita (current US$) '[SH.XPD.CHEX.PC.CD']]]*1000</f>
        <v>#DIV/0!</v>
      </c>
    </row>
    <row r="744" spans="1:7" x14ac:dyDescent="0.25">
      <c r="A744" s="5" t="s">
        <v>383</v>
      </c>
      <c r="B744" s="6" t="s">
        <v>188</v>
      </c>
      <c r="C744" s="5">
        <v>2015</v>
      </c>
      <c r="D744" s="7">
        <v>874.04138183999999</v>
      </c>
      <c r="E744" s="11">
        <v>75.568292682926852</v>
      </c>
      <c r="F744" s="10">
        <f>Table1[[#This Row],[Life expectancy at birth, total (years) '[SP.DYN.LE00.IN']]]/Table1[[#This Row],[Current health expenditure per capita (current US$) '[SH.XPD.CHEX.PC.CD']]]</f>
        <v>8.6458483834991023E-2</v>
      </c>
      <c r="G744" s="4">
        <f>Table1[[#This Row],[Life expectancy at birth, total (years) '[SP.DYN.LE00.IN']]]/Table1[[#This Row],[Current health expenditure per capita (current US$) '[SH.XPD.CHEX.PC.CD']]]*1000</f>
        <v>86.458483834991029</v>
      </c>
    </row>
    <row r="745" spans="1:7" x14ac:dyDescent="0.25">
      <c r="A745" s="5" t="s">
        <v>383</v>
      </c>
      <c r="B745" s="6" t="s">
        <v>188</v>
      </c>
      <c r="C745" s="5">
        <v>2016</v>
      </c>
      <c r="D745" s="7">
        <v>918.94506836000005</v>
      </c>
      <c r="E745" s="11">
        <v>76.063414634146355</v>
      </c>
      <c r="F745" s="10">
        <f>Table1[[#This Row],[Life expectancy at birth, total (years) '[SP.DYN.LE00.IN']]]/Table1[[#This Row],[Current health expenditure per capita (current US$) '[SH.XPD.CHEX.PC.CD']]]</f>
        <v>8.2772536959029891E-2</v>
      </c>
      <c r="G745" s="4">
        <f>Table1[[#This Row],[Life expectancy at birth, total (years) '[SP.DYN.LE00.IN']]]/Table1[[#This Row],[Current health expenditure per capita (current US$) '[SH.XPD.CHEX.PC.CD']]]*1000</f>
        <v>82.772536959029893</v>
      </c>
    </row>
    <row r="746" spans="1:7" x14ac:dyDescent="0.25">
      <c r="A746" s="5" t="s">
        <v>383</v>
      </c>
      <c r="B746" s="6" t="s">
        <v>188</v>
      </c>
      <c r="C746" s="5">
        <v>2017</v>
      </c>
      <c r="D746" s="7">
        <v>990.90808104999996</v>
      </c>
      <c r="E746" s="11">
        <v>75.817073170731717</v>
      </c>
      <c r="F746" s="10">
        <f>Table1[[#This Row],[Life expectancy at birth, total (years) '[SP.DYN.LE00.IN']]]/Table1[[#This Row],[Current health expenditure per capita (current US$) '[SH.XPD.CHEX.PC.CD']]]</f>
        <v>7.6512720625300956E-2</v>
      </c>
      <c r="G746" s="4">
        <f>Table1[[#This Row],[Life expectancy at birth, total (years) '[SP.DYN.LE00.IN']]]/Table1[[#This Row],[Current health expenditure per capita (current US$) '[SH.XPD.CHEX.PC.CD']]]*1000</f>
        <v>76.512720625300958</v>
      </c>
    </row>
    <row r="747" spans="1:7" x14ac:dyDescent="0.25">
      <c r="A747" s="5" t="s">
        <v>383</v>
      </c>
      <c r="B747" s="6" t="s">
        <v>188</v>
      </c>
      <c r="C747" s="5">
        <v>2018</v>
      </c>
      <c r="D747" s="7">
        <v>1087.64611816</v>
      </c>
      <c r="E747" s="11">
        <v>76.065853658536597</v>
      </c>
      <c r="F747" s="10">
        <f>Table1[[#This Row],[Life expectancy at birth, total (years) '[SP.DYN.LE00.IN']]]/Table1[[#This Row],[Current health expenditure per capita (current US$) '[SH.XPD.CHEX.PC.CD']]]</f>
        <v>6.9936215822862705E-2</v>
      </c>
      <c r="G747" s="4">
        <f>Table1[[#This Row],[Life expectancy at birth, total (years) '[SP.DYN.LE00.IN']]]/Table1[[#This Row],[Current health expenditure per capita (current US$) '[SH.XPD.CHEX.PC.CD']]]*1000</f>
        <v>69.936215822862707</v>
      </c>
    </row>
    <row r="748" spans="1:7" x14ac:dyDescent="0.25">
      <c r="A748" s="5" t="s">
        <v>383</v>
      </c>
      <c r="B748" s="6" t="s">
        <v>188</v>
      </c>
      <c r="C748" s="5">
        <v>2019</v>
      </c>
      <c r="D748" s="7">
        <v>1062.1586914100001</v>
      </c>
      <c r="E748" s="11">
        <v>76.319512195121945</v>
      </c>
      <c r="F748" s="10">
        <f>Table1[[#This Row],[Life expectancy at birth, total (years) '[SP.DYN.LE00.IN']]]/Table1[[#This Row],[Current health expenditure per capita (current US$) '[SH.XPD.CHEX.PC.CD']]]</f>
        <v>7.1853210647656526E-2</v>
      </c>
      <c r="G748" s="4">
        <f>Table1[[#This Row],[Life expectancy at birth, total (years) '[SP.DYN.LE00.IN']]]/Table1[[#This Row],[Current health expenditure per capita (current US$) '[SH.XPD.CHEX.PC.CD']]]*1000</f>
        <v>71.853210647656525</v>
      </c>
    </row>
    <row r="749" spans="1:7" x14ac:dyDescent="0.25">
      <c r="A749" s="5" t="s">
        <v>383</v>
      </c>
      <c r="B749" s="6" t="s">
        <v>188</v>
      </c>
      <c r="C749" s="5">
        <v>2020</v>
      </c>
      <c r="D749" s="7">
        <v>1182.54138184</v>
      </c>
      <c r="E749" s="11">
        <v>75.419512195121968</v>
      </c>
      <c r="F749" s="10">
        <f>Table1[[#This Row],[Life expectancy at birth, total (years) '[SP.DYN.LE00.IN']]]/Table1[[#This Row],[Current health expenditure per capita (current US$) '[SH.XPD.CHEX.PC.CD']]]</f>
        <v>6.3777482423297019E-2</v>
      </c>
      <c r="G749" s="4">
        <f>Table1[[#This Row],[Life expectancy at birth, total (years) '[SP.DYN.LE00.IN']]]/Table1[[#This Row],[Current health expenditure per capita (current US$) '[SH.XPD.CHEX.PC.CD']]]*1000</f>
        <v>63.777482423297016</v>
      </c>
    </row>
    <row r="750" spans="1:7" x14ac:dyDescent="0.25">
      <c r="A750" s="5" t="s">
        <v>383</v>
      </c>
      <c r="B750" s="6" t="s">
        <v>188</v>
      </c>
      <c r="C750" s="5">
        <v>2021</v>
      </c>
      <c r="D750" s="7">
        <v>1392.9746093799999</v>
      </c>
      <c r="E750" s="11">
        <v>74.065853658536582</v>
      </c>
      <c r="F750" s="10">
        <f>Table1[[#This Row],[Life expectancy at birth, total (years) '[SP.DYN.LE00.IN']]]/Table1[[#This Row],[Current health expenditure per capita (current US$) '[SH.XPD.CHEX.PC.CD']]]</f>
        <v>5.3171000504813659E-2</v>
      </c>
      <c r="G750" s="4">
        <f>Table1[[#This Row],[Life expectancy at birth, total (years) '[SP.DYN.LE00.IN']]]/Table1[[#This Row],[Current health expenditure per capita (current US$) '[SH.XPD.CHEX.PC.CD']]]*1000</f>
        <v>53.171000504813662</v>
      </c>
    </row>
    <row r="751" spans="1:7" x14ac:dyDescent="0.25">
      <c r="A751" s="5" t="s">
        <v>383</v>
      </c>
      <c r="B751" s="6" t="s">
        <v>188</v>
      </c>
      <c r="C751" s="5">
        <v>2022</v>
      </c>
      <c r="D751" s="7">
        <v>1228.00231934</v>
      </c>
      <c r="E751" s="11">
        <v>75.868292682926835</v>
      </c>
      <c r="F751" s="10">
        <f>Table1[[#This Row],[Life expectancy at birth, total (years) '[SP.DYN.LE00.IN']]]/Table1[[#This Row],[Current health expenditure per capita (current US$) '[SH.XPD.CHEX.PC.CD']]]</f>
        <v>6.1781880610537347E-2</v>
      </c>
      <c r="G751" s="4">
        <f>Table1[[#This Row],[Life expectancy at birth, total (years) '[SP.DYN.LE00.IN']]]/Table1[[#This Row],[Current health expenditure per capita (current US$) '[SH.XPD.CHEX.PC.CD']]]*1000</f>
        <v>61.78188061053735</v>
      </c>
    </row>
    <row r="752" spans="1:7" x14ac:dyDescent="0.25">
      <c r="A752" s="5" t="s">
        <v>383</v>
      </c>
      <c r="B752" s="6" t="s">
        <v>188</v>
      </c>
      <c r="C752" s="5">
        <v>2023</v>
      </c>
      <c r="D752" s="7">
        <v>1419.8747558600001</v>
      </c>
      <c r="E752" s="11">
        <v>76.770731707317083</v>
      </c>
      <c r="F752" s="10">
        <f>Table1[[#This Row],[Life expectancy at birth, total (years) '[SP.DYN.LE00.IN']]]/Table1[[#This Row],[Current health expenditure per capita (current US$) '[SH.XPD.CHEX.PC.CD']]]</f>
        <v>5.4068664430066603E-2</v>
      </c>
      <c r="G752" s="4">
        <f>Table1[[#This Row],[Life expectancy at birth, total (years) '[SP.DYN.LE00.IN']]]/Table1[[#This Row],[Current health expenditure per capita (current US$) '[SH.XPD.CHEX.PC.CD']]]*1000</f>
        <v>54.068664430066605</v>
      </c>
    </row>
    <row r="753" spans="1:7" hidden="1" x14ac:dyDescent="0.25">
      <c r="B753" s="1"/>
      <c r="D753" s="3"/>
      <c r="E753"/>
      <c r="F753" t="e">
        <f>Table1[[#This Row],[Life expectancy at birth, total (years) '[SP.DYN.LE00.IN']]]/Table1[[#This Row],[Current health expenditure per capita (current US$) '[SH.XPD.CHEX.PC.CD']]]</f>
        <v>#DIV/0!</v>
      </c>
      <c r="G753" s="2" t="e">
        <f>Table1[[#This Row],[Life expectancy at birth, total (years) '[SP.DYN.LE00.IN']]]/Table1[[#This Row],[Current health expenditure per capita (current US$) '[SH.XPD.CHEX.PC.CD']]]*1000</f>
        <v>#DIV/0!</v>
      </c>
    </row>
    <row r="754" spans="1:7" x14ac:dyDescent="0.25">
      <c r="A754" s="5" t="s">
        <v>57</v>
      </c>
      <c r="B754" s="6" t="s">
        <v>359</v>
      </c>
      <c r="C754" s="5">
        <v>2015</v>
      </c>
      <c r="D754" s="7">
        <v>4303.8417968800004</v>
      </c>
      <c r="E754" s="11">
        <v>82.468292682926844</v>
      </c>
      <c r="F754" s="10">
        <f>Table1[[#This Row],[Life expectancy at birth, total (years) '[SP.DYN.LE00.IN']]]/Table1[[#This Row],[Current health expenditure per capita (current US$) '[SH.XPD.CHEX.PC.CD']]]</f>
        <v>1.9161552997303682E-2</v>
      </c>
      <c r="G754" s="4">
        <f>Table1[[#This Row],[Life expectancy at birth, total (years) '[SP.DYN.LE00.IN']]]/Table1[[#This Row],[Current health expenditure per capita (current US$) '[SH.XPD.CHEX.PC.CD']]]*1000</f>
        <v>19.161552997303684</v>
      </c>
    </row>
    <row r="755" spans="1:7" x14ac:dyDescent="0.25">
      <c r="A755" s="5" t="s">
        <v>57</v>
      </c>
      <c r="B755" s="6" t="s">
        <v>359</v>
      </c>
      <c r="C755" s="5">
        <v>2016</v>
      </c>
      <c r="D755" s="7">
        <v>5053.5175781300004</v>
      </c>
      <c r="E755" s="11">
        <v>82.2048780487805</v>
      </c>
      <c r="F755" s="10">
        <f>Table1[[#This Row],[Life expectancy at birth, total (years) '[SP.DYN.LE00.IN']]]/Table1[[#This Row],[Current health expenditure per capita (current US$) '[SH.XPD.CHEX.PC.CD']]]</f>
        <v>1.6266862987582509E-2</v>
      </c>
      <c r="G755" s="4">
        <f>Table1[[#This Row],[Life expectancy at birth, total (years) '[SP.DYN.LE00.IN']]]/Table1[[#This Row],[Current health expenditure per capita (current US$) '[SH.XPD.CHEX.PC.CD']]]*1000</f>
        <v>16.26686298758251</v>
      </c>
    </row>
    <row r="756" spans="1:7" x14ac:dyDescent="0.25">
      <c r="A756" s="5" t="s">
        <v>57</v>
      </c>
      <c r="B756" s="6" t="s">
        <v>359</v>
      </c>
      <c r="C756" s="5">
        <v>2017</v>
      </c>
      <c r="D756" s="7">
        <v>5992.0532226599998</v>
      </c>
      <c r="E756" s="11">
        <v>82.660975609756093</v>
      </c>
      <c r="F756" s="10">
        <f>Table1[[#This Row],[Life expectancy at birth, total (years) '[SP.DYN.LE00.IN']]]/Table1[[#This Row],[Current health expenditure per capita (current US$) '[SH.XPD.CHEX.PC.CD']]]</f>
        <v>1.3795100366792325E-2</v>
      </c>
      <c r="G756" s="4">
        <f>Table1[[#This Row],[Life expectancy at birth, total (years) '[SP.DYN.LE00.IN']]]/Table1[[#This Row],[Current health expenditure per capita (current US$) '[SH.XPD.CHEX.PC.CD']]]*1000</f>
        <v>13.795100366792324</v>
      </c>
    </row>
    <row r="757" spans="1:7" x14ac:dyDescent="0.25">
      <c r="A757" s="5" t="s">
        <v>57</v>
      </c>
      <c r="B757" s="6" t="s">
        <v>359</v>
      </c>
      <c r="C757" s="5">
        <v>2018</v>
      </c>
      <c r="D757" s="7">
        <v>6280.0385742199996</v>
      </c>
      <c r="E757" s="11">
        <v>82.86097560975611</v>
      </c>
      <c r="F757" s="10">
        <f>Table1[[#This Row],[Life expectancy at birth, total (years) '[SP.DYN.LE00.IN']]]/Table1[[#This Row],[Current health expenditure per capita (current US$) '[SH.XPD.CHEX.PC.CD']]]</f>
        <v>1.3194341822979599E-2</v>
      </c>
      <c r="G757" s="4">
        <f>Table1[[#This Row],[Life expectancy at birth, total (years) '[SP.DYN.LE00.IN']]]/Table1[[#This Row],[Current health expenditure per capita (current US$) '[SH.XPD.CHEX.PC.CD']]]*1000</f>
        <v>13.194341822979599</v>
      </c>
    </row>
    <row r="758" spans="1:7" x14ac:dyDescent="0.25">
      <c r="A758" s="5" t="s">
        <v>57</v>
      </c>
      <c r="B758" s="6" t="s">
        <v>359</v>
      </c>
      <c r="C758" s="5">
        <v>2019</v>
      </c>
      <c r="D758" s="7">
        <v>5912.0097656300004</v>
      </c>
      <c r="E758" s="11">
        <v>83.163414634146349</v>
      </c>
      <c r="F758" s="10">
        <f>Table1[[#This Row],[Life expectancy at birth, total (years) '[SP.DYN.LE00.IN']]]/Table1[[#This Row],[Current health expenditure per capita (current US$) '[SH.XPD.CHEX.PC.CD']]]</f>
        <v>1.4066860159403715E-2</v>
      </c>
      <c r="G758" s="4">
        <f>Table1[[#This Row],[Life expectancy at birth, total (years) '[SP.DYN.LE00.IN']]]/Table1[[#This Row],[Current health expenditure per capita (current US$) '[SH.XPD.CHEX.PC.CD']]]*1000</f>
        <v>14.066860159403715</v>
      </c>
    </row>
    <row r="759" spans="1:7" x14ac:dyDescent="0.25">
      <c r="A759" s="5" t="s">
        <v>57</v>
      </c>
      <c r="B759" s="6" t="s">
        <v>359</v>
      </c>
      <c r="C759" s="5">
        <v>2020</v>
      </c>
      <c r="D759" s="7">
        <v>5692.8911132800004</v>
      </c>
      <c r="E759" s="11">
        <v>83.063414634146341</v>
      </c>
      <c r="F759" s="10">
        <f>Table1[[#This Row],[Life expectancy at birth, total (years) '[SP.DYN.LE00.IN']]]/Table1[[#This Row],[Current health expenditure per capita (current US$) '[SH.XPD.CHEX.PC.CD']]]</f>
        <v>1.4590726044343531E-2</v>
      </c>
      <c r="G759" s="4">
        <f>Table1[[#This Row],[Life expectancy at birth, total (years) '[SP.DYN.LE00.IN']]]/Table1[[#This Row],[Current health expenditure per capita (current US$) '[SH.XPD.CHEX.PC.CD']]]*1000</f>
        <v>14.59072604434353</v>
      </c>
    </row>
    <row r="760" spans="1:7" x14ac:dyDescent="0.25">
      <c r="A760" s="5" t="s">
        <v>57</v>
      </c>
      <c r="B760" s="6" t="s">
        <v>359</v>
      </c>
      <c r="C760" s="5">
        <v>2021</v>
      </c>
      <c r="D760" s="7">
        <v>6722.421875</v>
      </c>
      <c r="E760" s="11">
        <v>83.165853658536591</v>
      </c>
      <c r="F760" s="10">
        <f>Table1[[#This Row],[Life expectancy at birth, total (years) '[SP.DYN.LE00.IN']]]/Table1[[#This Row],[Current health expenditure per capita (current US$) '[SH.XPD.CHEX.PC.CD']]]</f>
        <v>1.2371412447026258E-2</v>
      </c>
      <c r="G760" s="4">
        <f>Table1[[#This Row],[Life expectancy at birth, total (years) '[SP.DYN.LE00.IN']]]/Table1[[#This Row],[Current health expenditure per capita (current US$) '[SH.XPD.CHEX.PC.CD']]]*1000</f>
        <v>12.371412447026257</v>
      </c>
    </row>
    <row r="761" spans="1:7" x14ac:dyDescent="0.25">
      <c r="A761" s="5" t="s">
        <v>57</v>
      </c>
      <c r="B761" s="6" t="s">
        <v>359</v>
      </c>
      <c r="C761" s="5">
        <v>2022</v>
      </c>
      <c r="D761" s="7">
        <v>6851.6293945300004</v>
      </c>
      <c r="E761" s="11">
        <v>82.11951219512197</v>
      </c>
      <c r="F761" s="10">
        <f>Table1[[#This Row],[Life expectancy at birth, total (years) '[SP.DYN.LE00.IN']]]/Table1[[#This Row],[Current health expenditure per capita (current US$) '[SH.XPD.CHEX.PC.CD']]]</f>
        <v>1.1985399014821511E-2</v>
      </c>
      <c r="G761" s="4">
        <f>Table1[[#This Row],[Life expectancy at birth, total (years) '[SP.DYN.LE00.IN']]]/Table1[[#This Row],[Current health expenditure per capita (current US$) '[SH.XPD.CHEX.PC.CD']]]*1000</f>
        <v>11.98539901482151</v>
      </c>
    </row>
    <row r="762" spans="1:7" x14ac:dyDescent="0.25">
      <c r="A762" s="5" t="s">
        <v>57</v>
      </c>
      <c r="B762" s="6" t="s">
        <v>359</v>
      </c>
      <c r="C762" s="5">
        <v>2023</v>
      </c>
      <c r="D762" s="7">
        <v>7064.6240234400002</v>
      </c>
      <c r="E762" s="11">
        <v>82.607317073170748</v>
      </c>
      <c r="F762" s="10">
        <f>Table1[[#This Row],[Life expectancy at birth, total (years) '[SP.DYN.LE00.IN']]]/Table1[[#This Row],[Current health expenditure per capita (current US$) '[SH.XPD.CHEX.PC.CD']]]</f>
        <v>1.1693094607594772E-2</v>
      </c>
      <c r="G762" s="4">
        <f>Table1[[#This Row],[Life expectancy at birth, total (years) '[SP.DYN.LE00.IN']]]/Table1[[#This Row],[Current health expenditure per capita (current US$) '[SH.XPD.CHEX.PC.CD']]]*1000</f>
        <v>11.693094607594773</v>
      </c>
    </row>
    <row r="763" spans="1:7" hidden="1" x14ac:dyDescent="0.25">
      <c r="B763" s="1"/>
      <c r="D763" s="3"/>
      <c r="E763"/>
      <c r="F763" t="e">
        <f>Table1[[#This Row],[Life expectancy at birth, total (years) '[SP.DYN.LE00.IN']]]/Table1[[#This Row],[Current health expenditure per capita (current US$) '[SH.XPD.CHEX.PC.CD']]]</f>
        <v>#DIV/0!</v>
      </c>
      <c r="G763" s="2" t="e">
        <f>Table1[[#This Row],[Life expectancy at birth, total (years) '[SP.DYN.LE00.IN']]]/Table1[[#This Row],[Current health expenditure per capita (current US$) '[SH.XPD.CHEX.PC.CD']]]*1000</f>
        <v>#DIV/0!</v>
      </c>
    </row>
    <row r="764" spans="1:7" x14ac:dyDescent="0.25">
      <c r="A764" s="5" t="s">
        <v>392</v>
      </c>
      <c r="B764" s="6" t="s">
        <v>143</v>
      </c>
      <c r="C764" s="5">
        <v>2015</v>
      </c>
      <c r="D764" s="7">
        <v>58.124015810000003</v>
      </c>
      <c r="E764" s="11">
        <v>69.325999999999993</v>
      </c>
      <c r="F764" s="10">
        <f>Table1[[#This Row],[Life expectancy at birth, total (years) '[SP.DYN.LE00.IN']]]/Table1[[#This Row],[Current health expenditure per capita (current US$) '[SH.XPD.CHEX.PC.CD']]]</f>
        <v>1.19272557193257</v>
      </c>
      <c r="G764" s="4">
        <f>Table1[[#This Row],[Life expectancy at birth, total (years) '[SP.DYN.LE00.IN']]]/Table1[[#This Row],[Current health expenditure per capita (current US$) '[SH.XPD.CHEX.PC.CD']]]*1000</f>
        <v>1192.7255719325699</v>
      </c>
    </row>
    <row r="765" spans="1:7" x14ac:dyDescent="0.25">
      <c r="A765" s="5" t="s">
        <v>392</v>
      </c>
      <c r="B765" s="6" t="s">
        <v>143</v>
      </c>
      <c r="C765" s="5">
        <v>2016</v>
      </c>
      <c r="D765" s="7">
        <v>59.726528170000002</v>
      </c>
      <c r="E765" s="11">
        <v>69.709000000000003</v>
      </c>
      <c r="F765" s="10">
        <f>Table1[[#This Row],[Life expectancy at birth, total (years) '[SP.DYN.LE00.IN']]]/Table1[[#This Row],[Current health expenditure per capita (current US$) '[SH.XPD.CHEX.PC.CD']]]</f>
        <v>1.1671363150656744</v>
      </c>
      <c r="G765" s="4">
        <f>Table1[[#This Row],[Life expectancy at birth, total (years) '[SP.DYN.LE00.IN']]]/Table1[[#This Row],[Current health expenditure per capita (current US$) '[SH.XPD.CHEX.PC.CD']]]*1000</f>
        <v>1167.1363150656744</v>
      </c>
    </row>
    <row r="766" spans="1:7" x14ac:dyDescent="0.25">
      <c r="A766" s="5" t="s">
        <v>392</v>
      </c>
      <c r="B766" s="6" t="s">
        <v>143</v>
      </c>
      <c r="C766" s="5">
        <v>2017</v>
      </c>
      <c r="D766" s="7">
        <v>56.668445589999997</v>
      </c>
      <c r="E766" s="11">
        <v>70.067999999999998</v>
      </c>
      <c r="F766" s="10">
        <f>Table1[[#This Row],[Life expectancy at birth, total (years) '[SP.DYN.LE00.IN']]]/Table1[[#This Row],[Current health expenditure per capita (current US$) '[SH.XPD.CHEX.PC.CD']]]</f>
        <v>1.2364553018966971</v>
      </c>
      <c r="G766" s="4">
        <f>Table1[[#This Row],[Life expectancy at birth, total (years) '[SP.DYN.LE00.IN']]]/Table1[[#This Row],[Current health expenditure per capita (current US$) '[SH.XPD.CHEX.PC.CD']]]*1000</f>
        <v>1236.4553018966972</v>
      </c>
    </row>
    <row r="767" spans="1:7" x14ac:dyDescent="0.25">
      <c r="A767" s="5" t="s">
        <v>392</v>
      </c>
      <c r="B767" s="6" t="s">
        <v>143</v>
      </c>
      <c r="C767" s="5">
        <v>2018</v>
      </c>
      <c r="D767" s="7">
        <v>57.465511319999997</v>
      </c>
      <c r="E767" s="11">
        <v>70.415000000000006</v>
      </c>
      <c r="F767" s="10">
        <f>Table1[[#This Row],[Life expectancy at birth, total (years) '[SP.DYN.LE00.IN']]]/Table1[[#This Row],[Current health expenditure per capita (current US$) '[SH.XPD.CHEX.PC.CD']]]</f>
        <v>1.2253436606156698</v>
      </c>
      <c r="G767" s="4">
        <f>Table1[[#This Row],[Life expectancy at birth, total (years) '[SP.DYN.LE00.IN']]]/Table1[[#This Row],[Current health expenditure per capita (current US$) '[SH.XPD.CHEX.PC.CD']]]*1000</f>
        <v>1225.3436606156697</v>
      </c>
    </row>
    <row r="768" spans="1:7" x14ac:dyDescent="0.25">
      <c r="A768" s="5" t="s">
        <v>392</v>
      </c>
      <c r="B768" s="6" t="s">
        <v>143</v>
      </c>
      <c r="C768" s="5">
        <v>2019</v>
      </c>
      <c r="D768" s="7">
        <v>60.691368099999998</v>
      </c>
      <c r="E768" s="11">
        <v>70.745999999999995</v>
      </c>
      <c r="F768" s="10">
        <f>Table1[[#This Row],[Life expectancy at birth, total (years) '[SP.DYN.LE00.IN']]]/Table1[[#This Row],[Current health expenditure per capita (current US$) '[SH.XPD.CHEX.PC.CD']]]</f>
        <v>1.1656682361062149</v>
      </c>
      <c r="G768" s="4">
        <f>Table1[[#This Row],[Life expectancy at birth, total (years) '[SP.DYN.LE00.IN']]]/Table1[[#This Row],[Current health expenditure per capita (current US$) '[SH.XPD.CHEX.PC.CD']]]*1000</f>
        <v>1165.6682361062149</v>
      </c>
    </row>
    <row r="769" spans="1:7" x14ac:dyDescent="0.25">
      <c r="A769" s="5" t="s">
        <v>392</v>
      </c>
      <c r="B769" s="6" t="s">
        <v>143</v>
      </c>
      <c r="C769" s="5">
        <v>2020</v>
      </c>
      <c r="D769" s="7">
        <v>63.83099747</v>
      </c>
      <c r="E769" s="11">
        <v>70.156000000000006</v>
      </c>
      <c r="F769" s="10">
        <f>Table1[[#This Row],[Life expectancy at birth, total (years) '[SP.DYN.LE00.IN']]]/Table1[[#This Row],[Current health expenditure per capita (current US$) '[SH.XPD.CHEX.PC.CD']]]</f>
        <v>1.0990898275242009</v>
      </c>
      <c r="G769" s="4">
        <f>Table1[[#This Row],[Life expectancy at birth, total (years) '[SP.DYN.LE00.IN']]]/Table1[[#This Row],[Current health expenditure per capita (current US$) '[SH.XPD.CHEX.PC.CD']]]*1000</f>
        <v>1099.0898275242009</v>
      </c>
    </row>
    <row r="770" spans="1:7" x14ac:dyDescent="0.25">
      <c r="A770" s="5" t="s">
        <v>392</v>
      </c>
      <c r="B770" s="6" t="s">
        <v>143</v>
      </c>
      <c r="C770" s="5">
        <v>2021</v>
      </c>
      <c r="D770" s="7">
        <v>75.549713130000001</v>
      </c>
      <c r="E770" s="11">
        <v>67.281999999999996</v>
      </c>
      <c r="F770" s="10">
        <f>Table1[[#This Row],[Life expectancy at birth, total (years) '[SP.DYN.LE00.IN']]]/Table1[[#This Row],[Current health expenditure per capita (current US$) '[SH.XPD.CHEX.PC.CD']]]</f>
        <v>0.89056592292053349</v>
      </c>
      <c r="G770" s="4">
        <f>Table1[[#This Row],[Life expectancy at birth, total (years) '[SP.DYN.LE00.IN']]]/Table1[[#This Row],[Current health expenditure per capita (current US$) '[SH.XPD.CHEX.PC.CD']]]*1000</f>
        <v>890.56592292053347</v>
      </c>
    </row>
    <row r="771" spans="1:7" x14ac:dyDescent="0.25">
      <c r="A771" s="5" t="s">
        <v>392</v>
      </c>
      <c r="B771" s="6" t="s">
        <v>143</v>
      </c>
      <c r="C771" s="5">
        <v>2022</v>
      </c>
      <c r="D771" s="7">
        <v>81.508888240000005</v>
      </c>
      <c r="E771" s="11">
        <v>71.697999999999993</v>
      </c>
      <c r="F771" s="10">
        <f>Table1[[#This Row],[Life expectancy at birth, total (years) '[SP.DYN.LE00.IN']]]/Table1[[#This Row],[Current health expenditure per capita (current US$) '[SH.XPD.CHEX.PC.CD']]]</f>
        <v>0.87963413007042612</v>
      </c>
      <c r="G771" s="4">
        <f>Table1[[#This Row],[Life expectancy at birth, total (years) '[SP.DYN.LE00.IN']]]/Table1[[#This Row],[Current health expenditure per capita (current US$) '[SH.XPD.CHEX.PC.CD']]]*1000</f>
        <v>879.63413007042607</v>
      </c>
    </row>
    <row r="772" spans="1:7" x14ac:dyDescent="0.25">
      <c r="A772" s="5" t="s">
        <v>392</v>
      </c>
      <c r="B772" s="6" t="s">
        <v>143</v>
      </c>
      <c r="C772" s="5">
        <v>2023</v>
      </c>
      <c r="D772" s="7">
        <v>84.686698910000004</v>
      </c>
      <c r="E772" s="11">
        <v>72.003</v>
      </c>
      <c r="F772" s="10">
        <f>Table1[[#This Row],[Life expectancy at birth, total (years) '[SP.DYN.LE00.IN']]]/Table1[[#This Row],[Current health expenditure per capita (current US$) '[SH.XPD.CHEX.PC.CD']]]</f>
        <v>0.85022796881621887</v>
      </c>
      <c r="G772" s="4">
        <f>Table1[[#This Row],[Life expectancy at birth, total (years) '[SP.DYN.LE00.IN']]]/Table1[[#This Row],[Current health expenditure per capita (current US$) '[SH.XPD.CHEX.PC.CD']]]*1000</f>
        <v>850.22796881621889</v>
      </c>
    </row>
    <row r="773" spans="1:7" hidden="1" x14ac:dyDescent="0.25">
      <c r="B773" s="1"/>
      <c r="D773" s="3"/>
      <c r="E773"/>
      <c r="F773" t="e">
        <f>Table1[[#This Row],[Life expectancy at birth, total (years) '[SP.DYN.LE00.IN']]]/Table1[[#This Row],[Current health expenditure per capita (current US$) '[SH.XPD.CHEX.PC.CD']]]</f>
        <v>#DIV/0!</v>
      </c>
      <c r="G773" s="2" t="e">
        <f>Table1[[#This Row],[Life expectancy at birth, total (years) '[SP.DYN.LE00.IN']]]/Table1[[#This Row],[Current health expenditure per capita (current US$) '[SH.XPD.CHEX.PC.CD']]]*1000</f>
        <v>#DIV/0!</v>
      </c>
    </row>
    <row r="774" spans="1:7" x14ac:dyDescent="0.25">
      <c r="A774" s="5" t="s">
        <v>216</v>
      </c>
      <c r="B774" s="6" t="s">
        <v>323</v>
      </c>
      <c r="C774" s="5">
        <v>2015</v>
      </c>
      <c r="D774" s="7">
        <v>96.157012940000001</v>
      </c>
      <c r="E774" s="11">
        <v>69.52</v>
      </c>
      <c r="F774" s="10">
        <f>Table1[[#This Row],[Life expectancy at birth, total (years) '[SP.DYN.LE00.IN']]]/Table1[[#This Row],[Current health expenditure per capita (current US$) '[SH.XPD.CHEX.PC.CD']]]</f>
        <v>0.72298418882228643</v>
      </c>
      <c r="G774" s="4">
        <f>Table1[[#This Row],[Life expectancy at birth, total (years) '[SP.DYN.LE00.IN']]]/Table1[[#This Row],[Current health expenditure per capita (current US$) '[SH.XPD.CHEX.PC.CD']]]*1000</f>
        <v>722.98418882228646</v>
      </c>
    </row>
    <row r="775" spans="1:7" x14ac:dyDescent="0.25">
      <c r="A775" s="5" t="s">
        <v>216</v>
      </c>
      <c r="B775" s="6" t="s">
        <v>323</v>
      </c>
      <c r="C775" s="5">
        <v>2016</v>
      </c>
      <c r="D775" s="7">
        <v>106.40021514999999</v>
      </c>
      <c r="E775" s="11">
        <v>69.733000000000004</v>
      </c>
      <c r="F775" s="10">
        <f>Table1[[#This Row],[Life expectancy at birth, total (years) '[SP.DYN.LE00.IN']]]/Table1[[#This Row],[Current health expenditure per capita (current US$) '[SH.XPD.CHEX.PC.CD']]]</f>
        <v>0.65538401310272165</v>
      </c>
      <c r="G775" s="4">
        <f>Table1[[#This Row],[Life expectancy at birth, total (years) '[SP.DYN.LE00.IN']]]/Table1[[#This Row],[Current health expenditure per capita (current US$) '[SH.XPD.CHEX.PC.CD']]]*1000</f>
        <v>655.38401310272161</v>
      </c>
    </row>
    <row r="776" spans="1:7" x14ac:dyDescent="0.25">
      <c r="A776" s="5" t="s">
        <v>216</v>
      </c>
      <c r="B776" s="6" t="s">
        <v>323</v>
      </c>
      <c r="C776" s="5">
        <v>2017</v>
      </c>
      <c r="D776" s="7">
        <v>110.32610321</v>
      </c>
      <c r="E776" s="11">
        <v>69.953000000000003</v>
      </c>
      <c r="F776" s="10">
        <f>Table1[[#This Row],[Life expectancy at birth, total (years) '[SP.DYN.LE00.IN']]]/Table1[[#This Row],[Current health expenditure per capita (current US$) '[SH.XPD.CHEX.PC.CD']]]</f>
        <v>0.63405665535787215</v>
      </c>
      <c r="G776" s="4">
        <f>Table1[[#This Row],[Life expectancy at birth, total (years) '[SP.DYN.LE00.IN']]]/Table1[[#This Row],[Current health expenditure per capita (current US$) '[SH.XPD.CHEX.PC.CD']]]*1000</f>
        <v>634.05665535787216</v>
      </c>
    </row>
    <row r="777" spans="1:7" x14ac:dyDescent="0.25">
      <c r="A777" s="5" t="s">
        <v>216</v>
      </c>
      <c r="B777" s="6" t="s">
        <v>323</v>
      </c>
      <c r="C777" s="5">
        <v>2018</v>
      </c>
      <c r="D777" s="7">
        <v>110.71585846000001</v>
      </c>
      <c r="E777" s="11">
        <v>70.08</v>
      </c>
      <c r="F777" s="10">
        <f>Table1[[#This Row],[Life expectancy at birth, total (years) '[SP.DYN.LE00.IN']]]/Table1[[#This Row],[Current health expenditure per capita (current US$) '[SH.XPD.CHEX.PC.CD']]]</f>
        <v>0.63297165351717755</v>
      </c>
      <c r="G777" s="4">
        <f>Table1[[#This Row],[Life expectancy at birth, total (years) '[SP.DYN.LE00.IN']]]/Table1[[#This Row],[Current health expenditure per capita (current US$) '[SH.XPD.CHEX.PC.CD']]]*1000</f>
        <v>632.97165351717751</v>
      </c>
    </row>
    <row r="778" spans="1:7" x14ac:dyDescent="0.25">
      <c r="A778" s="5" t="s">
        <v>216</v>
      </c>
      <c r="B778" s="6" t="s">
        <v>323</v>
      </c>
      <c r="C778" s="5">
        <v>2019</v>
      </c>
      <c r="D778" s="7">
        <v>118.22380828999999</v>
      </c>
      <c r="E778" s="11">
        <v>70.349000000000004</v>
      </c>
      <c r="F778" s="10">
        <f>Table1[[#This Row],[Life expectancy at birth, total (years) '[SP.DYN.LE00.IN']]]/Table1[[#This Row],[Current health expenditure per capita (current US$) '[SH.XPD.CHEX.PC.CD']]]</f>
        <v>0.59504934765284923</v>
      </c>
      <c r="G778" s="4">
        <f>Table1[[#This Row],[Life expectancy at birth, total (years) '[SP.DYN.LE00.IN']]]/Table1[[#This Row],[Current health expenditure per capita (current US$) '[SH.XPD.CHEX.PC.CD']]]*1000</f>
        <v>595.04934765284918</v>
      </c>
    </row>
    <row r="779" spans="1:7" x14ac:dyDescent="0.25">
      <c r="A779" s="5" t="s">
        <v>216</v>
      </c>
      <c r="B779" s="6" t="s">
        <v>323</v>
      </c>
      <c r="C779" s="5">
        <v>2020</v>
      </c>
      <c r="D779" s="7">
        <v>131.82257079999999</v>
      </c>
      <c r="E779" s="11">
        <v>68.816999999999993</v>
      </c>
      <c r="F779" s="10">
        <f>Table1[[#This Row],[Life expectancy at birth, total (years) '[SP.DYN.LE00.IN']]]/Table1[[#This Row],[Current health expenditure per capita (current US$) '[SH.XPD.CHEX.PC.CD']]]</f>
        <v>0.52204261821299569</v>
      </c>
      <c r="G779" s="4">
        <f>Table1[[#This Row],[Life expectancy at birth, total (years) '[SP.DYN.LE00.IN']]]/Table1[[#This Row],[Current health expenditure per capita (current US$) '[SH.XPD.CHEX.PC.CD']]]*1000</f>
        <v>522.04261821299565</v>
      </c>
    </row>
    <row r="780" spans="1:7" x14ac:dyDescent="0.25">
      <c r="A780" s="5" t="s">
        <v>216</v>
      </c>
      <c r="B780" s="6" t="s">
        <v>323</v>
      </c>
      <c r="C780" s="5">
        <v>2021</v>
      </c>
      <c r="D780" s="7">
        <v>158.89761353</v>
      </c>
      <c r="E780" s="11">
        <v>67.451999999999998</v>
      </c>
      <c r="F780" s="10">
        <f>Table1[[#This Row],[Life expectancy at birth, total (years) '[SP.DYN.LE00.IN']]]/Table1[[#This Row],[Current health expenditure per capita (current US$) '[SH.XPD.CHEX.PC.CD']]]</f>
        <v>0.42449976750132251</v>
      </c>
      <c r="G780" s="4">
        <f>Table1[[#This Row],[Life expectancy at birth, total (years) '[SP.DYN.LE00.IN']]]/Table1[[#This Row],[Current health expenditure per capita (current US$) '[SH.XPD.CHEX.PC.CD']]]*1000</f>
        <v>424.49976750132254</v>
      </c>
    </row>
    <row r="781" spans="1:7" x14ac:dyDescent="0.25">
      <c r="A781" s="5" t="s">
        <v>216</v>
      </c>
      <c r="B781" s="6" t="s">
        <v>323</v>
      </c>
      <c r="C781" s="5">
        <v>2022</v>
      </c>
      <c r="D781" s="7">
        <v>127.44384766</v>
      </c>
      <c r="E781" s="11">
        <v>70.924999999999997</v>
      </c>
      <c r="F781" s="10">
        <f>Table1[[#This Row],[Life expectancy at birth, total (years) '[SP.DYN.LE00.IN']]]/Table1[[#This Row],[Current health expenditure per capita (current US$) '[SH.XPD.CHEX.PC.CD']]]</f>
        <v>0.55651960688770685</v>
      </c>
      <c r="G781" s="4">
        <f>Table1[[#This Row],[Life expectancy at birth, total (years) '[SP.DYN.LE00.IN']]]/Table1[[#This Row],[Current health expenditure per capita (current US$) '[SH.XPD.CHEX.PC.CD']]]*1000</f>
        <v>556.5196068877068</v>
      </c>
    </row>
    <row r="782" spans="1:7" x14ac:dyDescent="0.25">
      <c r="A782" s="5" t="s">
        <v>216</v>
      </c>
      <c r="B782" s="6" t="s">
        <v>323</v>
      </c>
      <c r="C782" s="5">
        <v>2023</v>
      </c>
      <c r="D782" s="7">
        <v>131.77729797000001</v>
      </c>
      <c r="E782" s="11">
        <v>71.146000000000001</v>
      </c>
      <c r="F782" s="10">
        <f>Table1[[#This Row],[Life expectancy at birth, total (years) '[SP.DYN.LE00.IN']]]/Table1[[#This Row],[Current health expenditure per capita (current US$) '[SH.XPD.CHEX.PC.CD']]]</f>
        <v>0.53989572631999838</v>
      </c>
      <c r="G782" s="4">
        <f>Table1[[#This Row],[Life expectancy at birth, total (years) '[SP.DYN.LE00.IN']]]/Table1[[#This Row],[Current health expenditure per capita (current US$) '[SH.XPD.CHEX.PC.CD']]]*1000</f>
        <v>539.8957263199984</v>
      </c>
    </row>
    <row r="783" spans="1:7" hidden="1" x14ac:dyDescent="0.25">
      <c r="B783" s="1"/>
      <c r="D783" s="3"/>
      <c r="E783"/>
      <c r="F783" t="e">
        <f>Table1[[#This Row],[Life expectancy at birth, total (years) '[SP.DYN.LE00.IN']]]/Table1[[#This Row],[Current health expenditure per capita (current US$) '[SH.XPD.CHEX.PC.CD']]]</f>
        <v>#DIV/0!</v>
      </c>
      <c r="G783" s="2" t="e">
        <f>Table1[[#This Row],[Life expectancy at birth, total (years) '[SP.DYN.LE00.IN']]]/Table1[[#This Row],[Current health expenditure per capita (current US$) '[SH.XPD.CHEX.PC.CD']]]*1000</f>
        <v>#DIV/0!</v>
      </c>
    </row>
    <row r="784" spans="1:7" x14ac:dyDescent="0.25">
      <c r="A784" s="5" t="s">
        <v>196</v>
      </c>
      <c r="B784" s="6" t="s">
        <v>61</v>
      </c>
      <c r="C784" s="5">
        <v>2015</v>
      </c>
      <c r="D784" s="7">
        <v>423.28967284999999</v>
      </c>
      <c r="E784" s="11">
        <v>75.906999999999996</v>
      </c>
      <c r="F784" s="10">
        <f>Table1[[#This Row],[Life expectancy at birth, total (years) '[SP.DYN.LE00.IN']]]/Table1[[#This Row],[Current health expenditure per capita (current US$) '[SH.XPD.CHEX.PC.CD']]]</f>
        <v>0.17932636884079842</v>
      </c>
      <c r="G784" s="4">
        <f>Table1[[#This Row],[Life expectancy at birth, total (years) '[SP.DYN.LE00.IN']]]/Table1[[#This Row],[Current health expenditure per capita (current US$) '[SH.XPD.CHEX.PC.CD']]]*1000</f>
        <v>179.32636884079841</v>
      </c>
    </row>
    <row r="785" spans="1:7" x14ac:dyDescent="0.25">
      <c r="A785" s="5" t="s">
        <v>196</v>
      </c>
      <c r="B785" s="6" t="s">
        <v>61</v>
      </c>
      <c r="C785" s="5">
        <v>2016</v>
      </c>
      <c r="D785" s="7">
        <v>433.91961670000001</v>
      </c>
      <c r="E785" s="11">
        <v>76.155000000000001</v>
      </c>
      <c r="F785" s="10">
        <f>Table1[[#This Row],[Life expectancy at birth, total (years) '[SP.DYN.LE00.IN']]]/Table1[[#This Row],[Current health expenditure per capita (current US$) '[SH.XPD.CHEX.PC.CD']]]</f>
        <v>0.17550485635834126</v>
      </c>
      <c r="G785" s="4">
        <f>Table1[[#This Row],[Life expectancy at birth, total (years) '[SP.DYN.LE00.IN']]]/Table1[[#This Row],[Current health expenditure per capita (current US$) '[SH.XPD.CHEX.PC.CD']]]*1000</f>
        <v>175.50485635834127</v>
      </c>
    </row>
    <row r="786" spans="1:7" x14ac:dyDescent="0.25">
      <c r="A786" s="5" t="s">
        <v>196</v>
      </c>
      <c r="B786" s="6" t="s">
        <v>61</v>
      </c>
      <c r="C786" s="5">
        <v>2017</v>
      </c>
      <c r="D786" s="7">
        <v>457.22549437999999</v>
      </c>
      <c r="E786" s="11">
        <v>76.396000000000001</v>
      </c>
      <c r="F786" s="10">
        <f>Table1[[#This Row],[Life expectancy at birth, total (years) '[SP.DYN.LE00.IN']]]/Table1[[#This Row],[Current health expenditure per capita (current US$) '[SH.XPD.CHEX.PC.CD']]]</f>
        <v>0.16708604602985525</v>
      </c>
      <c r="G786" s="4">
        <f>Table1[[#This Row],[Life expectancy at birth, total (years) '[SP.DYN.LE00.IN']]]/Table1[[#This Row],[Current health expenditure per capita (current US$) '[SH.XPD.CHEX.PC.CD']]]*1000</f>
        <v>167.08604602985525</v>
      </c>
    </row>
    <row r="787" spans="1:7" x14ac:dyDescent="0.25">
      <c r="A787" s="5" t="s">
        <v>196</v>
      </c>
      <c r="B787" s="6" t="s">
        <v>61</v>
      </c>
      <c r="C787" s="5">
        <v>2018</v>
      </c>
      <c r="D787" s="7">
        <v>244.21661377000001</v>
      </c>
      <c r="E787" s="11">
        <v>76.620999999999995</v>
      </c>
      <c r="F787" s="10">
        <f>Table1[[#This Row],[Life expectancy at birth, total (years) '[SP.DYN.LE00.IN']]]/Table1[[#This Row],[Current health expenditure per capita (current US$) '[SH.XPD.CHEX.PC.CD']]]</f>
        <v>0.31374196381316072</v>
      </c>
      <c r="G787" s="4">
        <f>Table1[[#This Row],[Life expectancy at birth, total (years) '[SP.DYN.LE00.IN']]]/Table1[[#This Row],[Current health expenditure per capita (current US$) '[SH.XPD.CHEX.PC.CD']]]*1000</f>
        <v>313.74196381316074</v>
      </c>
    </row>
    <row r="788" spans="1:7" x14ac:dyDescent="0.25">
      <c r="A788" s="5" t="s">
        <v>196</v>
      </c>
      <c r="B788" s="6" t="s">
        <v>61</v>
      </c>
      <c r="C788" s="5">
        <v>2019</v>
      </c>
      <c r="D788" s="7">
        <v>223.64257813</v>
      </c>
      <c r="E788" s="11">
        <v>76.855000000000004</v>
      </c>
      <c r="F788" s="10">
        <f>Table1[[#This Row],[Life expectancy at birth, total (years) '[SP.DYN.LE00.IN']]]/Table1[[#This Row],[Current health expenditure per capita (current US$) '[SH.XPD.CHEX.PC.CD']]]</f>
        <v>0.34365101959844768</v>
      </c>
      <c r="G788" s="4">
        <f>Table1[[#This Row],[Life expectancy at birth, total (years) '[SP.DYN.LE00.IN']]]/Table1[[#This Row],[Current health expenditure per capita (current US$) '[SH.XPD.CHEX.PC.CD']]]*1000</f>
        <v>343.6510195984477</v>
      </c>
    </row>
    <row r="789" spans="1:7" x14ac:dyDescent="0.25">
      <c r="A789" s="5" t="s">
        <v>196</v>
      </c>
      <c r="B789" s="6" t="s">
        <v>61</v>
      </c>
      <c r="C789" s="5">
        <v>2020</v>
      </c>
      <c r="D789" s="7">
        <v>184.90914917000001</v>
      </c>
      <c r="E789" s="11">
        <v>74.141000000000005</v>
      </c>
      <c r="F789" s="10">
        <f>Table1[[#This Row],[Life expectancy at birth, total (years) '[SP.DYN.LE00.IN']]]/Table1[[#This Row],[Current health expenditure per capita (current US$) '[SH.XPD.CHEX.PC.CD']]]</f>
        <v>0.40095906737333459</v>
      </c>
      <c r="G789" s="4">
        <f>Table1[[#This Row],[Life expectancy at birth, total (years) '[SP.DYN.LE00.IN']]]/Table1[[#This Row],[Current health expenditure per capita (current US$) '[SH.XPD.CHEX.PC.CD']]]*1000</f>
        <v>400.95906737333456</v>
      </c>
    </row>
    <row r="790" spans="1:7" x14ac:dyDescent="0.25">
      <c r="A790" s="5" t="s">
        <v>196</v>
      </c>
      <c r="B790" s="6" t="s">
        <v>61</v>
      </c>
      <c r="C790" s="5">
        <v>2021</v>
      </c>
      <c r="D790" s="7">
        <v>196.66934204</v>
      </c>
      <c r="E790" s="11">
        <v>73.751999999999995</v>
      </c>
      <c r="F790" s="10">
        <f>Table1[[#This Row],[Life expectancy at birth, total (years) '[SP.DYN.LE00.IN']]]/Table1[[#This Row],[Current health expenditure per capita (current US$) '[SH.XPD.CHEX.PC.CD']]]</f>
        <v>0.37500506807512374</v>
      </c>
      <c r="G790" s="4">
        <f>Table1[[#This Row],[Life expectancy at birth, total (years) '[SP.DYN.LE00.IN']]]/Table1[[#This Row],[Current health expenditure per capita (current US$) '[SH.XPD.CHEX.PC.CD']]]*1000</f>
        <v>375.00506807512375</v>
      </c>
    </row>
    <row r="791" spans="1:7" x14ac:dyDescent="0.25">
      <c r="A791" s="5" t="s">
        <v>196</v>
      </c>
      <c r="B791" s="6" t="s">
        <v>61</v>
      </c>
      <c r="C791" s="5">
        <v>2022</v>
      </c>
      <c r="D791" s="7">
        <v>250.23272704999999</v>
      </c>
      <c r="E791" s="11">
        <v>76.799000000000007</v>
      </c>
      <c r="F791" s="10">
        <f>Table1[[#This Row],[Life expectancy at birth, total (years) '[SP.DYN.LE00.IN']]]/Table1[[#This Row],[Current health expenditure per capita (current US$) '[SH.XPD.CHEX.PC.CD']]]</f>
        <v>0.30691029469000869</v>
      </c>
      <c r="G791" s="4">
        <f>Table1[[#This Row],[Life expectancy at birth, total (years) '[SP.DYN.LE00.IN']]]/Table1[[#This Row],[Current health expenditure per capita (current US$) '[SH.XPD.CHEX.PC.CD']]]*1000</f>
        <v>306.9102946900087</v>
      </c>
    </row>
    <row r="792" spans="1:7" x14ac:dyDescent="0.25">
      <c r="A792" s="5" t="s">
        <v>196</v>
      </c>
      <c r="B792" s="6" t="s">
        <v>61</v>
      </c>
      <c r="C792" s="5">
        <v>2023</v>
      </c>
      <c r="D792" s="7">
        <v>267.05902099999997</v>
      </c>
      <c r="E792" s="11">
        <v>77.653999999999996</v>
      </c>
      <c r="F792" s="10">
        <f>Table1[[#This Row],[Life expectancy at birth, total (years) '[SP.DYN.LE00.IN']]]/Table1[[#This Row],[Current health expenditure per capita (current US$) '[SH.XPD.CHEX.PC.CD']]]</f>
        <v>0.29077467486110498</v>
      </c>
      <c r="G792" s="4">
        <f>Table1[[#This Row],[Life expectancy at birth, total (years) '[SP.DYN.LE00.IN']]]/Table1[[#This Row],[Current health expenditure per capita (current US$) '[SH.XPD.CHEX.PC.CD']]]*1000</f>
        <v>290.77467486110498</v>
      </c>
    </row>
    <row r="793" spans="1:7" hidden="1" x14ac:dyDescent="0.25">
      <c r="B793" s="1"/>
      <c r="D793" s="3"/>
      <c r="E793"/>
      <c r="F793" t="e">
        <f>Table1[[#This Row],[Life expectancy at birth, total (years) '[SP.DYN.LE00.IN']]]/Table1[[#This Row],[Current health expenditure per capita (current US$) '[SH.XPD.CHEX.PC.CD']]]</f>
        <v>#DIV/0!</v>
      </c>
      <c r="G793" s="2" t="e">
        <f>Table1[[#This Row],[Life expectancy at birth, total (years) '[SP.DYN.LE00.IN']]]/Table1[[#This Row],[Current health expenditure per capita (current US$) '[SH.XPD.CHEX.PC.CD']]]*1000</f>
        <v>#DIV/0!</v>
      </c>
    </row>
    <row r="794" spans="1:7" x14ac:dyDescent="0.25">
      <c r="A794" s="5" t="s">
        <v>121</v>
      </c>
      <c r="B794" s="6" t="s">
        <v>344</v>
      </c>
      <c r="C794" s="5">
        <v>2015</v>
      </c>
      <c r="D794" s="7">
        <v>149.07951355</v>
      </c>
      <c r="E794" s="11">
        <v>69.977000000000004</v>
      </c>
      <c r="F794" s="10">
        <f>Table1[[#This Row],[Life expectancy at birth, total (years) '[SP.DYN.LE00.IN']]]/Table1[[#This Row],[Current health expenditure per capita (current US$) '[SH.XPD.CHEX.PC.CD']]]</f>
        <v>0.46939380424346711</v>
      </c>
      <c r="G794" s="4">
        <f>Table1[[#This Row],[Life expectancy at birth, total (years) '[SP.DYN.LE00.IN']]]/Table1[[#This Row],[Current health expenditure per capita (current US$) '[SH.XPD.CHEX.PC.CD']]]*1000</f>
        <v>469.39380424346712</v>
      </c>
    </row>
    <row r="795" spans="1:7" x14ac:dyDescent="0.25">
      <c r="A795" s="5" t="s">
        <v>121</v>
      </c>
      <c r="B795" s="6" t="s">
        <v>344</v>
      </c>
      <c r="C795" s="5">
        <v>2016</v>
      </c>
      <c r="D795" s="7">
        <v>199.88560486</v>
      </c>
      <c r="E795" s="11">
        <v>68.683000000000007</v>
      </c>
      <c r="F795" s="10">
        <f>Table1[[#This Row],[Life expectancy at birth, total (years) '[SP.DYN.LE00.IN']]]/Table1[[#This Row],[Current health expenditure per capita (current US$) '[SH.XPD.CHEX.PC.CD']]]</f>
        <v>0.34361153744966089</v>
      </c>
      <c r="G795" s="4">
        <f>Table1[[#This Row],[Life expectancy at birth, total (years) '[SP.DYN.LE00.IN']]]/Table1[[#This Row],[Current health expenditure per capita (current US$) '[SH.XPD.CHEX.PC.CD']]]*1000</f>
        <v>343.61153744966089</v>
      </c>
    </row>
    <row r="796" spans="1:7" x14ac:dyDescent="0.25">
      <c r="A796" s="5" t="s">
        <v>121</v>
      </c>
      <c r="B796" s="6" t="s">
        <v>344</v>
      </c>
      <c r="C796" s="5">
        <v>2017</v>
      </c>
      <c r="D796" s="7">
        <v>197.23654174999999</v>
      </c>
      <c r="E796" s="11">
        <v>69.787999999999997</v>
      </c>
      <c r="F796" s="10">
        <f>Table1[[#This Row],[Life expectancy at birth, total (years) '[SP.DYN.LE00.IN']]]/Table1[[#This Row],[Current health expenditure per capita (current US$) '[SH.XPD.CHEX.PC.CD']]]</f>
        <v>0.35382895776208267</v>
      </c>
      <c r="G796" s="4">
        <f>Table1[[#This Row],[Life expectancy at birth, total (years) '[SP.DYN.LE00.IN']]]/Table1[[#This Row],[Current health expenditure per capita (current US$) '[SH.XPD.CHEX.PC.CD']]]*1000</f>
        <v>353.82895776208267</v>
      </c>
    </row>
    <row r="797" spans="1:7" x14ac:dyDescent="0.25">
      <c r="A797" s="5" t="s">
        <v>121</v>
      </c>
      <c r="B797" s="6" t="s">
        <v>344</v>
      </c>
      <c r="C797" s="5">
        <v>2018</v>
      </c>
      <c r="D797" s="7">
        <v>232.86825562000001</v>
      </c>
      <c r="E797" s="11">
        <v>71.116</v>
      </c>
      <c r="F797" s="10">
        <f>Table1[[#This Row],[Life expectancy at birth, total (years) '[SP.DYN.LE00.IN']]]/Table1[[#This Row],[Current health expenditure per capita (current US$) '[SH.XPD.CHEX.PC.CD']]]</f>
        <v>0.30539156060862493</v>
      </c>
      <c r="G797" s="4">
        <f>Table1[[#This Row],[Life expectancy at birth, total (years) '[SP.DYN.LE00.IN']]]/Table1[[#This Row],[Current health expenditure per capita (current US$) '[SH.XPD.CHEX.PC.CD']]]*1000</f>
        <v>305.39156060862496</v>
      </c>
    </row>
    <row r="798" spans="1:7" x14ac:dyDescent="0.25">
      <c r="A798" s="5" t="s">
        <v>121</v>
      </c>
      <c r="B798" s="6" t="s">
        <v>344</v>
      </c>
      <c r="C798" s="5">
        <v>2019</v>
      </c>
      <c r="D798" s="7">
        <v>241.73873900999999</v>
      </c>
      <c r="E798" s="11">
        <v>71.245000000000005</v>
      </c>
      <c r="F798" s="10">
        <f>Table1[[#This Row],[Life expectancy at birth, total (years) '[SP.DYN.LE00.IN']]]/Table1[[#This Row],[Current health expenditure per capita (current US$) '[SH.XPD.CHEX.PC.CD']]]</f>
        <v>0.29471900238981896</v>
      </c>
      <c r="G798" s="4">
        <f>Table1[[#This Row],[Life expectancy at birth, total (years) '[SP.DYN.LE00.IN']]]/Table1[[#This Row],[Current health expenditure per capita (current US$) '[SH.XPD.CHEX.PC.CD']]]*1000</f>
        <v>294.71900238981897</v>
      </c>
    </row>
    <row r="799" spans="1:7" x14ac:dyDescent="0.25">
      <c r="A799" s="5" t="s">
        <v>121</v>
      </c>
      <c r="B799" s="6" t="s">
        <v>344</v>
      </c>
      <c r="C799" s="5">
        <v>2020</v>
      </c>
      <c r="D799" s="7">
        <v>248.04725647000001</v>
      </c>
      <c r="E799" s="11">
        <v>69.650999999999996</v>
      </c>
      <c r="F799" s="10">
        <f>Table1[[#This Row],[Life expectancy at birth, total (years) '[SP.DYN.LE00.IN']]]/Table1[[#This Row],[Current health expenditure per capita (current US$) '[SH.XPD.CHEX.PC.CD']]]</f>
        <v>0.28079730044675544</v>
      </c>
      <c r="G799" s="4">
        <f>Table1[[#This Row],[Life expectancy at birth, total (years) '[SP.DYN.LE00.IN']]]/Table1[[#This Row],[Current health expenditure per capita (current US$) '[SH.XPD.CHEX.PC.CD']]]*1000</f>
        <v>280.79730044675546</v>
      </c>
    </row>
    <row r="800" spans="1:7" x14ac:dyDescent="0.25">
      <c r="A800" s="5" t="s">
        <v>121</v>
      </c>
      <c r="B800" s="6" t="s">
        <v>344</v>
      </c>
      <c r="C800" s="5">
        <v>2021</v>
      </c>
      <c r="D800" s="7">
        <v>251.59538269000001</v>
      </c>
      <c r="E800" s="11">
        <v>70.703999999999994</v>
      </c>
      <c r="F800" s="10">
        <f>Table1[[#This Row],[Life expectancy at birth, total (years) '[SP.DYN.LE00.IN']]]/Table1[[#This Row],[Current health expenditure per capita (current US$) '[SH.XPD.CHEX.PC.CD']]]</f>
        <v>0.28102264534447763</v>
      </c>
      <c r="G800" s="4">
        <f>Table1[[#This Row],[Life expectancy at birth, total (years) '[SP.DYN.LE00.IN']]]/Table1[[#This Row],[Current health expenditure per capita (current US$) '[SH.XPD.CHEX.PC.CD']]]*1000</f>
        <v>281.02264534447761</v>
      </c>
    </row>
    <row r="801" spans="1:7" x14ac:dyDescent="0.25">
      <c r="A801" s="5" t="s">
        <v>121</v>
      </c>
      <c r="B801" s="6" t="s">
        <v>344</v>
      </c>
      <c r="C801" s="5">
        <v>2022</v>
      </c>
      <c r="D801" s="7">
        <v>283.17074585</v>
      </c>
      <c r="E801" s="11">
        <v>72.037000000000006</v>
      </c>
      <c r="F801" s="10">
        <f>Table1[[#This Row],[Life expectancy at birth, total (years) '[SP.DYN.LE00.IN']]]/Table1[[#This Row],[Current health expenditure per capita (current US$) '[SH.XPD.CHEX.PC.CD']]]</f>
        <v>0.25439421640736554</v>
      </c>
      <c r="G801" s="4">
        <f>Table1[[#This Row],[Life expectancy at birth, total (years) '[SP.DYN.LE00.IN']]]/Table1[[#This Row],[Current health expenditure per capita (current US$) '[SH.XPD.CHEX.PC.CD']]]*1000</f>
        <v>254.39421640736555</v>
      </c>
    </row>
    <row r="802" spans="1:7" x14ac:dyDescent="0.25">
      <c r="A802" s="5" t="s">
        <v>121</v>
      </c>
      <c r="B802" s="6" t="s">
        <v>344</v>
      </c>
      <c r="C802" s="5">
        <v>2023</v>
      </c>
      <c r="D802" s="7">
        <v>333.29360961999998</v>
      </c>
      <c r="E802" s="11">
        <v>72.323999999999998</v>
      </c>
      <c r="F802" s="10">
        <f>Table1[[#This Row],[Life expectancy at birth, total (years) '[SP.DYN.LE00.IN']]]/Table1[[#This Row],[Current health expenditure per capita (current US$) '[SH.XPD.CHEX.PC.CD']]]</f>
        <v>0.21699785988233974</v>
      </c>
      <c r="G802" s="4">
        <f>Table1[[#This Row],[Life expectancy at birth, total (years) '[SP.DYN.LE00.IN']]]/Table1[[#This Row],[Current health expenditure per capita (current US$) '[SH.XPD.CHEX.PC.CD']]]*1000</f>
        <v>216.99785988233975</v>
      </c>
    </row>
    <row r="803" spans="1:7" hidden="1" x14ac:dyDescent="0.25">
      <c r="B803" s="1"/>
      <c r="D803" s="3"/>
      <c r="E803"/>
      <c r="F803" t="e">
        <f>Table1[[#This Row],[Life expectancy at birth, total (years) '[SP.DYN.LE00.IN']]]/Table1[[#This Row],[Current health expenditure per capita (current US$) '[SH.XPD.CHEX.PC.CD']]]</f>
        <v>#DIV/0!</v>
      </c>
      <c r="G803" s="2" t="e">
        <f>Table1[[#This Row],[Life expectancy at birth, total (years) '[SP.DYN.LE00.IN']]]/Table1[[#This Row],[Current health expenditure per capita (current US$) '[SH.XPD.CHEX.PC.CD']]]*1000</f>
        <v>#DIV/0!</v>
      </c>
    </row>
    <row r="804" spans="1:7" x14ac:dyDescent="0.25">
      <c r="A804" s="5" t="s">
        <v>134</v>
      </c>
      <c r="B804" s="6" t="s">
        <v>281</v>
      </c>
      <c r="C804" s="5">
        <v>2015</v>
      </c>
      <c r="D804" s="7">
        <v>4575.8491210900002</v>
      </c>
      <c r="E804" s="11">
        <v>81.45365853658538</v>
      </c>
      <c r="F804" s="10">
        <f>Table1[[#This Row],[Life expectancy at birth, total (years) '[SP.DYN.LE00.IN']]]/Table1[[#This Row],[Current health expenditure per capita (current US$) '[SH.XPD.CHEX.PC.CD']]]</f>
        <v>1.7800774540656737E-2</v>
      </c>
      <c r="G804" s="4">
        <f>Table1[[#This Row],[Life expectancy at birth, total (years) '[SP.DYN.LE00.IN']]]/Table1[[#This Row],[Current health expenditure per capita (current US$) '[SH.XPD.CHEX.PC.CD']]]*1000</f>
        <v>17.800774540656736</v>
      </c>
    </row>
    <row r="805" spans="1:7" x14ac:dyDescent="0.25">
      <c r="A805" s="5" t="s">
        <v>134</v>
      </c>
      <c r="B805" s="6" t="s">
        <v>281</v>
      </c>
      <c r="C805" s="5">
        <v>2016</v>
      </c>
      <c r="D805" s="7">
        <v>4746.9370117199996</v>
      </c>
      <c r="E805" s="11">
        <v>81.653658536585368</v>
      </c>
      <c r="F805" s="10">
        <f>Table1[[#This Row],[Life expectancy at birth, total (years) '[SP.DYN.LE00.IN']]]/Table1[[#This Row],[Current health expenditure per capita (current US$) '[SH.XPD.CHEX.PC.CD']]]</f>
        <v>1.7201336005720262E-2</v>
      </c>
      <c r="G805" s="4">
        <f>Table1[[#This Row],[Life expectancy at birth, total (years) '[SP.DYN.LE00.IN']]]/Table1[[#This Row],[Current health expenditure per capita (current US$) '[SH.XPD.CHEX.PC.CD']]]*1000</f>
        <v>17.201336005720261</v>
      </c>
    </row>
    <row r="806" spans="1:7" x14ac:dyDescent="0.25">
      <c r="A806" s="5" t="s">
        <v>134</v>
      </c>
      <c r="B806" s="6" t="s">
        <v>281</v>
      </c>
      <c r="C806" s="5">
        <v>2017</v>
      </c>
      <c r="D806" s="7">
        <v>5023.5112304699996</v>
      </c>
      <c r="E806" s="11">
        <v>82.156097560975624</v>
      </c>
      <c r="F806" s="10">
        <f>Table1[[#This Row],[Life expectancy at birth, total (years) '[SP.DYN.LE00.IN']]]/Table1[[#This Row],[Current health expenditure per capita (current US$) '[SH.XPD.CHEX.PC.CD']]]</f>
        <v>1.6354317486673379E-2</v>
      </c>
      <c r="G806" s="4">
        <f>Table1[[#This Row],[Life expectancy at birth, total (years) '[SP.DYN.LE00.IN']]]/Table1[[#This Row],[Current health expenditure per capita (current US$) '[SH.XPD.CHEX.PC.CD']]]*1000</f>
        <v>16.354317486673377</v>
      </c>
    </row>
    <row r="807" spans="1:7" x14ac:dyDescent="0.25">
      <c r="A807" s="5" t="s">
        <v>134</v>
      </c>
      <c r="B807" s="6" t="s">
        <v>281</v>
      </c>
      <c r="C807" s="5">
        <v>2018</v>
      </c>
      <c r="D807" s="7">
        <v>5494.9863281300004</v>
      </c>
      <c r="E807" s="11">
        <v>82.2048780487805</v>
      </c>
      <c r="F807" s="10">
        <f>Table1[[#This Row],[Life expectancy at birth, total (years) '[SP.DYN.LE00.IN']]]/Table1[[#This Row],[Current health expenditure per capita (current US$) '[SH.XPD.CHEX.PC.CD']]]</f>
        <v>1.4959978631421938E-2</v>
      </c>
      <c r="G807" s="4">
        <f>Table1[[#This Row],[Life expectancy at birth, total (years) '[SP.DYN.LE00.IN']]]/Table1[[#This Row],[Current health expenditure per capita (current US$) '[SH.XPD.CHEX.PC.CD']]]*1000</f>
        <v>14.959978631421938</v>
      </c>
    </row>
    <row r="808" spans="1:7" x14ac:dyDescent="0.25">
      <c r="A808" s="5" t="s">
        <v>134</v>
      </c>
      <c r="B808" s="6" t="s">
        <v>281</v>
      </c>
      <c r="C808" s="5">
        <v>2019</v>
      </c>
      <c r="D808" s="7">
        <v>5454.3115234400002</v>
      </c>
      <c r="E808" s="11">
        <v>82.702439024390259</v>
      </c>
      <c r="F808" s="10">
        <f>Table1[[#This Row],[Life expectancy at birth, total (years) '[SP.DYN.LE00.IN']]]/Table1[[#This Row],[Current health expenditure per capita (current US$) '[SH.XPD.CHEX.PC.CD']]]</f>
        <v>1.5162764112202808E-2</v>
      </c>
      <c r="G808" s="4">
        <f>Table1[[#This Row],[Life expectancy at birth, total (years) '[SP.DYN.LE00.IN']]]/Table1[[#This Row],[Current health expenditure per capita (current US$) '[SH.XPD.CHEX.PC.CD']]]*1000</f>
        <v>15.162764112202808</v>
      </c>
    </row>
    <row r="809" spans="1:7" x14ac:dyDescent="0.25">
      <c r="A809" s="5" t="s">
        <v>134</v>
      </c>
      <c r="B809" s="6" t="s">
        <v>281</v>
      </c>
      <c r="C809" s="5">
        <v>2020</v>
      </c>
      <c r="D809" s="7">
        <v>6073.10546875</v>
      </c>
      <c r="E809" s="11">
        <v>82.456097560975635</v>
      </c>
      <c r="F809" s="10">
        <f>Table1[[#This Row],[Life expectancy at birth, total (years) '[SP.DYN.LE00.IN']]]/Table1[[#This Row],[Current health expenditure per capita (current US$) '[SH.XPD.CHEX.PC.CD']]]</f>
        <v>1.3577254336395906E-2</v>
      </c>
      <c r="G809" s="4">
        <f>Table1[[#This Row],[Life expectancy at birth, total (years) '[SP.DYN.LE00.IN']]]/Table1[[#This Row],[Current health expenditure per capita (current US$) '[SH.XPD.CHEX.PC.CD']]]*1000</f>
        <v>13.577254336395907</v>
      </c>
    </row>
    <row r="810" spans="1:7" x14ac:dyDescent="0.25">
      <c r="A810" s="5" t="s">
        <v>134</v>
      </c>
      <c r="B810" s="6" t="s">
        <v>281</v>
      </c>
      <c r="C810" s="5">
        <v>2021</v>
      </c>
      <c r="D810" s="7">
        <v>6754.0751953099998</v>
      </c>
      <c r="E810" s="11">
        <v>82.253658536585377</v>
      </c>
      <c r="F810" s="10">
        <f>Table1[[#This Row],[Life expectancy at birth, total (years) '[SP.DYN.LE00.IN']]]/Table1[[#This Row],[Current health expenditure per capita (current US$) '[SH.XPD.CHEX.PC.CD']]]</f>
        <v>1.2178374708309726E-2</v>
      </c>
      <c r="G810" s="4">
        <f>Table1[[#This Row],[Life expectancy at birth, total (years) '[SP.DYN.LE00.IN']]]/Table1[[#This Row],[Current health expenditure per capita (current US$) '[SH.XPD.CHEX.PC.CD']]]*1000</f>
        <v>12.178374708309725</v>
      </c>
    </row>
    <row r="811" spans="1:7" x14ac:dyDescent="0.25">
      <c r="A811" s="5" t="s">
        <v>134</v>
      </c>
      <c r="B811" s="6" t="s">
        <v>281</v>
      </c>
      <c r="C811" s="5">
        <v>2022</v>
      </c>
      <c r="D811" s="7">
        <v>6407.9233398400002</v>
      </c>
      <c r="E811" s="11">
        <v>82.509756097560981</v>
      </c>
      <c r="F811" s="10">
        <f>Table1[[#This Row],[Life expectancy at birth, total (years) '[SP.DYN.LE00.IN']]]/Table1[[#This Row],[Current health expenditure per capita (current US$) '[SH.XPD.CHEX.PC.CD']]]</f>
        <v>1.2876208362945424E-2</v>
      </c>
      <c r="G811" s="4">
        <f>Table1[[#This Row],[Life expectancy at birth, total (years) '[SP.DYN.LE00.IN']]]/Table1[[#This Row],[Current health expenditure per capita (current US$) '[SH.XPD.CHEX.PC.CD']]]*1000</f>
        <v>12.876208362945423</v>
      </c>
    </row>
    <row r="812" spans="1:7" x14ac:dyDescent="0.25">
      <c r="A812" s="5" t="s">
        <v>134</v>
      </c>
      <c r="B812" s="6" t="s">
        <v>281</v>
      </c>
      <c r="C812" s="5">
        <v>2023</v>
      </c>
      <c r="D812" s="7">
        <v>6877.9375</v>
      </c>
      <c r="E812" s="11">
        <v>82.86097560975611</v>
      </c>
      <c r="F812" s="10">
        <f>Table1[[#This Row],[Life expectancy at birth, total (years) '[SP.DYN.LE00.IN']]]/Table1[[#This Row],[Current health expenditure per capita (current US$) '[SH.XPD.CHEX.PC.CD']]]</f>
        <v>1.2047358035712902E-2</v>
      </c>
      <c r="G812" s="4">
        <f>Table1[[#This Row],[Life expectancy at birth, total (years) '[SP.DYN.LE00.IN']]]/Table1[[#This Row],[Current health expenditure per capita (current US$) '[SH.XPD.CHEX.PC.CD']]]*1000</f>
        <v>12.047358035712902</v>
      </c>
    </row>
    <row r="813" spans="1:7" hidden="1" x14ac:dyDescent="0.25">
      <c r="B813" s="1"/>
      <c r="D813" s="3"/>
      <c r="E813"/>
      <c r="F813" t="e">
        <f>Table1[[#This Row],[Life expectancy at birth, total (years) '[SP.DYN.LE00.IN']]]/Table1[[#This Row],[Current health expenditure per capita (current US$) '[SH.XPD.CHEX.PC.CD']]]</f>
        <v>#DIV/0!</v>
      </c>
      <c r="G813" s="2" t="e">
        <f>Table1[[#This Row],[Life expectancy at birth, total (years) '[SP.DYN.LE00.IN']]]/Table1[[#This Row],[Current health expenditure per capita (current US$) '[SH.XPD.CHEX.PC.CD']]]*1000</f>
        <v>#DIV/0!</v>
      </c>
    </row>
    <row r="814" spans="1:7" x14ac:dyDescent="0.25">
      <c r="A814" s="5" t="s">
        <v>142</v>
      </c>
      <c r="B814" s="6" t="s">
        <v>337</v>
      </c>
      <c r="C814" s="5">
        <v>2015</v>
      </c>
      <c r="D814" s="7">
        <v>2645.7885742200001</v>
      </c>
      <c r="E814" s="11">
        <v>82.051219512195118</v>
      </c>
      <c r="F814" s="10">
        <f>Table1[[#This Row],[Life expectancy at birth, total (years) '[SP.DYN.LE00.IN']]]/Table1[[#This Row],[Current health expenditure per capita (current US$) '[SH.XPD.CHEX.PC.CD']]]</f>
        <v>3.1012009164936575E-2</v>
      </c>
      <c r="G814" s="4">
        <f>Table1[[#This Row],[Life expectancy at birth, total (years) '[SP.DYN.LE00.IN']]]/Table1[[#This Row],[Current health expenditure per capita (current US$) '[SH.XPD.CHEX.PC.CD']]]*1000</f>
        <v>31.012009164936575</v>
      </c>
    </row>
    <row r="815" spans="1:7" x14ac:dyDescent="0.25">
      <c r="A815" s="5" t="s">
        <v>142</v>
      </c>
      <c r="B815" s="6" t="s">
        <v>337</v>
      </c>
      <c r="C815" s="5">
        <v>2016</v>
      </c>
      <c r="D815" s="7">
        <v>2783.8249511700001</v>
      </c>
      <c r="E815" s="11">
        <v>82.407317073170745</v>
      </c>
      <c r="F815" s="10">
        <f>Table1[[#This Row],[Life expectancy at birth, total (years) '[SP.DYN.LE00.IN']]]/Table1[[#This Row],[Current health expenditure per capita (current US$) '[SH.XPD.CHEX.PC.CD']]]</f>
        <v>2.9602190697563861E-2</v>
      </c>
      <c r="G815" s="4">
        <f>Table1[[#This Row],[Life expectancy at birth, total (years) '[SP.DYN.LE00.IN']]]/Table1[[#This Row],[Current health expenditure per capita (current US$) '[SH.XPD.CHEX.PC.CD']]]*1000</f>
        <v>29.602190697563863</v>
      </c>
    </row>
    <row r="816" spans="1:7" x14ac:dyDescent="0.25">
      <c r="A816" s="5" t="s">
        <v>142</v>
      </c>
      <c r="B816" s="6" t="s">
        <v>337</v>
      </c>
      <c r="C816" s="5">
        <v>2017</v>
      </c>
      <c r="D816" s="7">
        <v>3074.4460449200001</v>
      </c>
      <c r="E816" s="11">
        <v>82.551219512195118</v>
      </c>
      <c r="F816" s="10">
        <f>Table1[[#This Row],[Life expectancy at birth, total (years) '[SP.DYN.LE00.IN']]]/Table1[[#This Row],[Current health expenditure per capita (current US$) '[SH.XPD.CHEX.PC.CD']]]</f>
        <v>2.6850762155542454E-2</v>
      </c>
      <c r="G816" s="4">
        <f>Table1[[#This Row],[Life expectancy at birth, total (years) '[SP.DYN.LE00.IN']]]/Table1[[#This Row],[Current health expenditure per capita (current US$) '[SH.XPD.CHEX.PC.CD']]]*1000</f>
        <v>26.850762155542455</v>
      </c>
    </row>
    <row r="817" spans="1:7" x14ac:dyDescent="0.25">
      <c r="A817" s="5" t="s">
        <v>142</v>
      </c>
      <c r="B817" s="6" t="s">
        <v>337</v>
      </c>
      <c r="C817" s="5">
        <v>2018</v>
      </c>
      <c r="D817" s="7">
        <v>3199.4162597700001</v>
      </c>
      <c r="E817" s="11">
        <v>82.802439024390253</v>
      </c>
      <c r="F817" s="10">
        <f>Table1[[#This Row],[Life expectancy at birth, total (years) '[SP.DYN.LE00.IN']]]/Table1[[#This Row],[Current health expenditure per capita (current US$) '[SH.XPD.CHEX.PC.CD']]]</f>
        <v>2.5880483282391883E-2</v>
      </c>
      <c r="G817" s="4">
        <f>Table1[[#This Row],[Life expectancy at birth, total (years) '[SP.DYN.LE00.IN']]]/Table1[[#This Row],[Current health expenditure per capita (current US$) '[SH.XPD.CHEX.PC.CD']]]*1000</f>
        <v>25.880483282391882</v>
      </c>
    </row>
    <row r="818" spans="1:7" x14ac:dyDescent="0.25">
      <c r="A818" s="5" t="s">
        <v>142</v>
      </c>
      <c r="B818" s="6" t="s">
        <v>337</v>
      </c>
      <c r="C818" s="5">
        <v>2019</v>
      </c>
      <c r="D818" s="7">
        <v>3335.2451171900002</v>
      </c>
      <c r="E818" s="11">
        <v>82.804878048780495</v>
      </c>
      <c r="F818" s="10">
        <f>Table1[[#This Row],[Life expectancy at birth, total (years) '[SP.DYN.LE00.IN']]]/Table1[[#This Row],[Current health expenditure per capita (current US$) '[SH.XPD.CHEX.PC.CD']]]</f>
        <v>2.4827224128745592E-2</v>
      </c>
      <c r="G818" s="4">
        <f>Table1[[#This Row],[Life expectancy at birth, total (years) '[SP.DYN.LE00.IN']]]/Table1[[#This Row],[Current health expenditure per capita (current US$) '[SH.XPD.CHEX.PC.CD']]]*1000</f>
        <v>24.827224128745591</v>
      </c>
    </row>
    <row r="819" spans="1:7" x14ac:dyDescent="0.25">
      <c r="A819" s="5" t="s">
        <v>142</v>
      </c>
      <c r="B819" s="6" t="s">
        <v>337</v>
      </c>
      <c r="C819" s="5">
        <v>2020</v>
      </c>
      <c r="D819" s="7">
        <v>3616.5021972700001</v>
      </c>
      <c r="E819" s="11">
        <v>82.648780487804885</v>
      </c>
      <c r="F819" s="10">
        <f>Table1[[#This Row],[Life expectancy at birth, total (years) '[SP.DYN.LE00.IN']]]/Table1[[#This Row],[Current health expenditure per capita (current US$) '[SH.XPD.CHEX.PC.CD']]]</f>
        <v>2.2853236630187648E-2</v>
      </c>
      <c r="G819" s="4">
        <f>Table1[[#This Row],[Life expectancy at birth, total (years) '[SP.DYN.LE00.IN']]]/Table1[[#This Row],[Current health expenditure per capita (current US$) '[SH.XPD.CHEX.PC.CD']]]*1000</f>
        <v>22.853236630187649</v>
      </c>
    </row>
    <row r="820" spans="1:7" x14ac:dyDescent="0.25">
      <c r="A820" s="5" t="s">
        <v>142</v>
      </c>
      <c r="B820" s="6" t="s">
        <v>337</v>
      </c>
      <c r="C820" s="5">
        <v>2021</v>
      </c>
      <c r="D820" s="7">
        <v>4294.1884765599998</v>
      </c>
      <c r="E820" s="11">
        <v>82.500000000000014</v>
      </c>
      <c r="F820" s="10">
        <f>Table1[[#This Row],[Life expectancy at birth, total (years) '[SP.DYN.LE00.IN']]]/Table1[[#This Row],[Current health expenditure per capita (current US$) '[SH.XPD.CHEX.PC.CD']]]</f>
        <v>1.9212011873798642E-2</v>
      </c>
      <c r="G820" s="4">
        <f>Table1[[#This Row],[Life expectancy at birth, total (years) '[SP.DYN.LE00.IN']]]/Table1[[#This Row],[Current health expenditure per capita (current US$) '[SH.XPD.CHEX.PC.CD']]]*1000</f>
        <v>19.212011873798641</v>
      </c>
    </row>
    <row r="821" spans="1:7" x14ac:dyDescent="0.25">
      <c r="A821" s="5" t="s">
        <v>142</v>
      </c>
      <c r="B821" s="6" t="s">
        <v>337</v>
      </c>
      <c r="C821" s="5">
        <v>2022</v>
      </c>
      <c r="D821" s="7">
        <v>4107.7299804699996</v>
      </c>
      <c r="E821" s="11">
        <v>82.700000000000017</v>
      </c>
      <c r="F821" s="10">
        <f>Table1[[#This Row],[Life expectancy at birth, total (years) '[SP.DYN.LE00.IN']]]/Table1[[#This Row],[Current health expenditure per capita (current US$) '[SH.XPD.CHEX.PC.CD']]]</f>
        <v>2.0132774158280388E-2</v>
      </c>
      <c r="G821" s="4">
        <f>Table1[[#This Row],[Life expectancy at birth, total (years) '[SP.DYN.LE00.IN']]]/Table1[[#This Row],[Current health expenditure per capita (current US$) '[SH.XPD.CHEX.PC.CD']]]*1000</f>
        <v>20.132774158280387</v>
      </c>
    </row>
    <row r="822" spans="1:7" x14ac:dyDescent="0.25">
      <c r="A822" s="5" t="s">
        <v>142</v>
      </c>
      <c r="B822" s="6" t="s">
        <v>337</v>
      </c>
      <c r="C822" s="5">
        <v>2023</v>
      </c>
      <c r="D822" s="7">
        <v>3927.6987304700001</v>
      </c>
      <c r="E822" s="11">
        <v>83.195121951219519</v>
      </c>
      <c r="F822" s="10">
        <f>Table1[[#This Row],[Life expectancy at birth, total (years) '[SP.DYN.LE00.IN']]]/Table1[[#This Row],[Current health expenditure per capita (current US$) '[SH.XPD.CHEX.PC.CD']]]</f>
        <v>2.1181645452033982E-2</v>
      </c>
      <c r="G822" s="4">
        <f>Table1[[#This Row],[Life expectancy at birth, total (years) '[SP.DYN.LE00.IN']]]/Table1[[#This Row],[Current health expenditure per capita (current US$) '[SH.XPD.CHEX.PC.CD']]]*1000</f>
        <v>21.181645452033983</v>
      </c>
    </row>
    <row r="823" spans="1:7" hidden="1" x14ac:dyDescent="0.25">
      <c r="B823" s="1"/>
      <c r="D823" s="3"/>
      <c r="E823"/>
      <c r="F823" t="e">
        <f>Table1[[#This Row],[Life expectancy at birth, total (years) '[SP.DYN.LE00.IN']]]/Table1[[#This Row],[Current health expenditure per capita (current US$) '[SH.XPD.CHEX.PC.CD']]]</f>
        <v>#DIV/0!</v>
      </c>
      <c r="G823" s="2" t="e">
        <f>Table1[[#This Row],[Life expectancy at birth, total (years) '[SP.DYN.LE00.IN']]]/Table1[[#This Row],[Current health expenditure per capita (current US$) '[SH.XPD.CHEX.PC.CD']]]*1000</f>
        <v>#DIV/0!</v>
      </c>
    </row>
    <row r="824" spans="1:7" x14ac:dyDescent="0.25">
      <c r="A824" s="5" t="s">
        <v>349</v>
      </c>
      <c r="B824" s="6" t="s">
        <v>251</v>
      </c>
      <c r="C824" s="5">
        <v>2015</v>
      </c>
      <c r="D824" s="7">
        <v>2707.4331054700001</v>
      </c>
      <c r="E824" s="11">
        <v>82.543902439024393</v>
      </c>
      <c r="F824" s="10">
        <f>Table1[[#This Row],[Life expectancy at birth, total (years) '[SP.DYN.LE00.IN']]]/Table1[[#This Row],[Current health expenditure per capita (current US$) '[SH.XPD.CHEX.PC.CD']]]</f>
        <v>3.0487882515824925E-2</v>
      </c>
      <c r="G824" s="4">
        <f>Table1[[#This Row],[Life expectancy at birth, total (years) '[SP.DYN.LE00.IN']]]/Table1[[#This Row],[Current health expenditure per capita (current US$) '[SH.XPD.CHEX.PC.CD']]]*1000</f>
        <v>30.487882515824925</v>
      </c>
    </row>
    <row r="825" spans="1:7" x14ac:dyDescent="0.25">
      <c r="A825" s="5" t="s">
        <v>349</v>
      </c>
      <c r="B825" s="6" t="s">
        <v>251</v>
      </c>
      <c r="C825" s="5">
        <v>2016</v>
      </c>
      <c r="D825" s="7">
        <v>2735.2778320299999</v>
      </c>
      <c r="E825" s="11">
        <v>83.243902439024382</v>
      </c>
      <c r="F825" s="10">
        <f>Table1[[#This Row],[Life expectancy at birth, total (years) '[SP.DYN.LE00.IN']]]/Table1[[#This Row],[Current health expenditure per capita (current US$) '[SH.XPD.CHEX.PC.CD']]]</f>
        <v>3.043343585219806E-2</v>
      </c>
      <c r="G825" s="4">
        <f>Table1[[#This Row],[Life expectancy at birth, total (years) '[SP.DYN.LE00.IN']]]/Table1[[#This Row],[Current health expenditure per capita (current US$) '[SH.XPD.CHEX.PC.CD']]]*1000</f>
        <v>30.433435852198059</v>
      </c>
    </row>
    <row r="826" spans="1:7" x14ac:dyDescent="0.25">
      <c r="A826" s="5" t="s">
        <v>349</v>
      </c>
      <c r="B826" s="6" t="s">
        <v>251</v>
      </c>
      <c r="C826" s="5">
        <v>2017</v>
      </c>
      <c r="D826" s="7">
        <v>2851.2868652299999</v>
      </c>
      <c r="E826" s="11">
        <v>82.946341463414655</v>
      </c>
      <c r="F826" s="10">
        <f>Table1[[#This Row],[Life expectancy at birth, total (years) '[SP.DYN.LE00.IN']]]/Table1[[#This Row],[Current health expenditure per capita (current US$) '[SH.XPD.CHEX.PC.CD']]]</f>
        <v>2.9090844023764606E-2</v>
      </c>
      <c r="G826" s="4">
        <f>Table1[[#This Row],[Life expectancy at birth, total (years) '[SP.DYN.LE00.IN']]]/Table1[[#This Row],[Current health expenditure per capita (current US$) '[SH.XPD.CHEX.PC.CD']]]*1000</f>
        <v>29.090844023764607</v>
      </c>
    </row>
    <row r="827" spans="1:7" x14ac:dyDescent="0.25">
      <c r="A827" s="5" t="s">
        <v>349</v>
      </c>
      <c r="B827" s="6" t="s">
        <v>251</v>
      </c>
      <c r="C827" s="5">
        <v>2018</v>
      </c>
      <c r="D827" s="7">
        <v>3031.4645996099998</v>
      </c>
      <c r="E827" s="11">
        <v>83.346341463414646</v>
      </c>
      <c r="F827" s="10">
        <f>Table1[[#This Row],[Life expectancy at birth, total (years) '[SP.DYN.LE00.IN']]]/Table1[[#This Row],[Current health expenditure per capita (current US$) '[SH.XPD.CHEX.PC.CD']]]</f>
        <v>2.7493753835732476E-2</v>
      </c>
      <c r="G827" s="4">
        <f>Table1[[#This Row],[Life expectancy at birth, total (years) '[SP.DYN.LE00.IN']]]/Table1[[#This Row],[Current health expenditure per capita (current US$) '[SH.XPD.CHEX.PC.CD']]]*1000</f>
        <v>27.493753835732477</v>
      </c>
    </row>
    <row r="828" spans="1:7" x14ac:dyDescent="0.25">
      <c r="A828" s="5" t="s">
        <v>349</v>
      </c>
      <c r="B828" s="6" t="s">
        <v>251</v>
      </c>
      <c r="C828" s="5">
        <v>2019</v>
      </c>
      <c r="D828" s="7">
        <v>2908.8315429700001</v>
      </c>
      <c r="E828" s="11">
        <v>83.497560975609773</v>
      </c>
      <c r="F828" s="10">
        <f>Table1[[#This Row],[Life expectancy at birth, total (years) '[SP.DYN.LE00.IN']]]/Table1[[#This Row],[Current health expenditure per capita (current US$) '[SH.XPD.CHEX.PC.CD']]]</f>
        <v>2.8704845826292291E-2</v>
      </c>
      <c r="G828" s="4">
        <f>Table1[[#This Row],[Life expectancy at birth, total (years) '[SP.DYN.LE00.IN']]]/Table1[[#This Row],[Current health expenditure per capita (current US$) '[SH.XPD.CHEX.PC.CD']]]*1000</f>
        <v>28.704845826292292</v>
      </c>
    </row>
    <row r="829" spans="1:7" x14ac:dyDescent="0.25">
      <c r="A829" s="5" t="s">
        <v>349</v>
      </c>
      <c r="B829" s="6" t="s">
        <v>251</v>
      </c>
      <c r="C829" s="5">
        <v>2020</v>
      </c>
      <c r="D829" s="7">
        <v>3058.9001464799999</v>
      </c>
      <c r="E829" s="11">
        <v>82.195121951219519</v>
      </c>
      <c r="F829" s="10">
        <f>Table1[[#This Row],[Life expectancy at birth, total (years) '[SP.DYN.LE00.IN']]]/Table1[[#This Row],[Current health expenditure per capita (current US$) '[SH.XPD.CHEX.PC.CD']]]</f>
        <v>2.6870809119351205E-2</v>
      </c>
      <c r="G829" s="4">
        <f>Table1[[#This Row],[Life expectancy at birth, total (years) '[SP.DYN.LE00.IN']]]/Table1[[#This Row],[Current health expenditure per capita (current US$) '[SH.XPD.CHEX.PC.CD']]]*1000</f>
        <v>26.870809119351204</v>
      </c>
    </row>
    <row r="830" spans="1:7" x14ac:dyDescent="0.25">
      <c r="A830" s="5" t="s">
        <v>349</v>
      </c>
      <c r="B830" s="6" t="s">
        <v>251</v>
      </c>
      <c r="C830" s="5">
        <v>2021</v>
      </c>
      <c r="D830" s="7">
        <v>3414.57299805</v>
      </c>
      <c r="E830" s="11">
        <v>82.646341463414643</v>
      </c>
      <c r="F830" s="10">
        <f>Table1[[#This Row],[Life expectancy at birth, total (years) '[SP.DYN.LE00.IN']]]/Table1[[#This Row],[Current health expenditure per capita (current US$) '[SH.XPD.CHEX.PC.CD']]]</f>
        <v>2.4204004866966514E-2</v>
      </c>
      <c r="G830" s="4">
        <f>Table1[[#This Row],[Life expectancy at birth, total (years) '[SP.DYN.LE00.IN']]]/Table1[[#This Row],[Current health expenditure per capita (current US$) '[SH.XPD.CHEX.PC.CD']]]*1000</f>
        <v>24.204004866966514</v>
      </c>
    </row>
    <row r="831" spans="1:7" x14ac:dyDescent="0.25">
      <c r="A831" s="5" t="s">
        <v>349</v>
      </c>
      <c r="B831" s="6" t="s">
        <v>251</v>
      </c>
      <c r="C831" s="5">
        <v>2022</v>
      </c>
      <c r="D831" s="7">
        <v>3154.5710449200001</v>
      </c>
      <c r="E831" s="11">
        <v>82.700000000000017</v>
      </c>
      <c r="F831" s="10">
        <f>Table1[[#This Row],[Life expectancy at birth, total (years) '[SP.DYN.LE00.IN']]]/Table1[[#This Row],[Current health expenditure per capita (current US$) '[SH.XPD.CHEX.PC.CD']]]</f>
        <v>2.6215925659108841E-2</v>
      </c>
      <c r="G831" s="4">
        <f>Table1[[#This Row],[Life expectancy at birth, total (years) '[SP.DYN.LE00.IN']]]/Table1[[#This Row],[Current health expenditure per capita (current US$) '[SH.XPD.CHEX.PC.CD']]]*1000</f>
        <v>26.215925659108841</v>
      </c>
    </row>
    <row r="832" spans="1:7" x14ac:dyDescent="0.25">
      <c r="A832" s="5" t="s">
        <v>349</v>
      </c>
      <c r="B832" s="6" t="s">
        <v>251</v>
      </c>
      <c r="C832" s="5">
        <v>2023</v>
      </c>
      <c r="D832" s="7">
        <v>3283.4721679700001</v>
      </c>
      <c r="E832" s="11">
        <v>83.700000000000017</v>
      </c>
      <c r="F832" s="10">
        <f>Table1[[#This Row],[Life expectancy at birth, total (years) '[SP.DYN.LE00.IN']]]/Table1[[#This Row],[Current health expenditure per capita (current US$) '[SH.XPD.CHEX.PC.CD']]]</f>
        <v>2.5491307895491429E-2</v>
      </c>
      <c r="G832" s="4">
        <f>Table1[[#This Row],[Life expectancy at birth, total (years) '[SP.DYN.LE00.IN']]]/Table1[[#This Row],[Current health expenditure per capita (current US$) '[SH.XPD.CHEX.PC.CD']]]*1000</f>
        <v>25.491307895491428</v>
      </c>
    </row>
    <row r="833" spans="1:7" hidden="1" x14ac:dyDescent="0.25">
      <c r="B833" s="1"/>
      <c r="D833" s="3"/>
      <c r="E833"/>
      <c r="F833" t="e">
        <f>Table1[[#This Row],[Life expectancy at birth, total (years) '[SP.DYN.LE00.IN']]]/Table1[[#This Row],[Current health expenditure per capita (current US$) '[SH.XPD.CHEX.PC.CD']]]</f>
        <v>#DIV/0!</v>
      </c>
      <c r="G833" s="2" t="e">
        <f>Table1[[#This Row],[Life expectancy at birth, total (years) '[SP.DYN.LE00.IN']]]/Table1[[#This Row],[Current health expenditure per capita (current US$) '[SH.XPD.CHEX.PC.CD']]]*1000</f>
        <v>#DIV/0!</v>
      </c>
    </row>
    <row r="834" spans="1:7" x14ac:dyDescent="0.25">
      <c r="A834" s="5" t="s">
        <v>280</v>
      </c>
      <c r="B834" s="6" t="s">
        <v>301</v>
      </c>
      <c r="C834" s="5">
        <v>2015</v>
      </c>
      <c r="D834" s="7">
        <v>334.89901732999999</v>
      </c>
      <c r="E834" s="11">
        <v>72.213999999999999</v>
      </c>
      <c r="F834" s="10">
        <f>Table1[[#This Row],[Life expectancy at birth, total (years) '[SP.DYN.LE00.IN']]]/Table1[[#This Row],[Current health expenditure per capita (current US$) '[SH.XPD.CHEX.PC.CD']]]</f>
        <v>0.21562917853784674</v>
      </c>
      <c r="G834" s="4">
        <f>Table1[[#This Row],[Life expectancy at birth, total (years) '[SP.DYN.LE00.IN']]]/Table1[[#This Row],[Current health expenditure per capita (current US$) '[SH.XPD.CHEX.PC.CD']]]*1000</f>
        <v>215.62917853784674</v>
      </c>
    </row>
    <row r="835" spans="1:7" x14ac:dyDescent="0.25">
      <c r="A835" s="5" t="s">
        <v>280</v>
      </c>
      <c r="B835" s="6" t="s">
        <v>301</v>
      </c>
      <c r="C835" s="5">
        <v>2016</v>
      </c>
      <c r="D835" s="7">
        <v>330.15463256999999</v>
      </c>
      <c r="E835" s="11">
        <v>72.052000000000007</v>
      </c>
      <c r="F835" s="10">
        <f>Table1[[#This Row],[Life expectancy at birth, total (years) '[SP.DYN.LE00.IN']]]/Table1[[#This Row],[Current health expenditure per capita (current US$) '[SH.XPD.CHEX.PC.CD']]]</f>
        <v>0.21823713161051408</v>
      </c>
      <c r="G835" s="4">
        <f>Table1[[#This Row],[Life expectancy at birth, total (years) '[SP.DYN.LE00.IN']]]/Table1[[#This Row],[Current health expenditure per capita (current US$) '[SH.XPD.CHEX.PC.CD']]]*1000</f>
        <v>218.2371316105141</v>
      </c>
    </row>
    <row r="836" spans="1:7" x14ac:dyDescent="0.25">
      <c r="A836" s="5" t="s">
        <v>280</v>
      </c>
      <c r="B836" s="6" t="s">
        <v>301</v>
      </c>
      <c r="C836" s="5">
        <v>2017</v>
      </c>
      <c r="D836" s="7">
        <v>367.35095215000001</v>
      </c>
      <c r="E836" s="11">
        <v>71.879000000000005</v>
      </c>
      <c r="F836" s="10">
        <f>Table1[[#This Row],[Life expectancy at birth, total (years) '[SP.DYN.LE00.IN']]]/Table1[[#This Row],[Current health expenditure per capita (current US$) '[SH.XPD.CHEX.PC.CD']]]</f>
        <v>0.19566847337488247</v>
      </c>
      <c r="G836" s="4">
        <f>Table1[[#This Row],[Life expectancy at birth, total (years) '[SP.DYN.LE00.IN']]]/Table1[[#This Row],[Current health expenditure per capita (current US$) '[SH.XPD.CHEX.PC.CD']]]*1000</f>
        <v>195.66847337488247</v>
      </c>
    </row>
    <row r="837" spans="1:7" x14ac:dyDescent="0.25">
      <c r="A837" s="5" t="s">
        <v>280</v>
      </c>
      <c r="B837" s="6" t="s">
        <v>301</v>
      </c>
      <c r="C837" s="5">
        <v>2018</v>
      </c>
      <c r="D837" s="7">
        <v>381.47775268999999</v>
      </c>
      <c r="E837" s="11">
        <v>71.605999999999995</v>
      </c>
      <c r="F837" s="10">
        <f>Table1[[#This Row],[Life expectancy at birth, total (years) '[SP.DYN.LE00.IN']]]/Table1[[#This Row],[Current health expenditure per capita (current US$) '[SH.XPD.CHEX.PC.CD']]]</f>
        <v>0.18770688328498447</v>
      </c>
      <c r="G837" s="4">
        <f>Table1[[#This Row],[Life expectancy at birth, total (years) '[SP.DYN.LE00.IN']]]/Table1[[#This Row],[Current health expenditure per capita (current US$) '[SH.XPD.CHEX.PC.CD']]]*1000</f>
        <v>187.70688328498449</v>
      </c>
    </row>
    <row r="838" spans="1:7" x14ac:dyDescent="0.25">
      <c r="A838" s="5" t="s">
        <v>280</v>
      </c>
      <c r="B838" s="6" t="s">
        <v>301</v>
      </c>
      <c r="C838" s="5">
        <v>2019</v>
      </c>
      <c r="D838" s="7">
        <v>390.79431152000001</v>
      </c>
      <c r="E838" s="11">
        <v>71.531999999999996</v>
      </c>
      <c r="F838" s="10">
        <f>Table1[[#This Row],[Life expectancy at birth, total (years) '[SP.DYN.LE00.IN']]]/Table1[[#This Row],[Current health expenditure per capita (current US$) '[SH.XPD.CHEX.PC.CD']]]</f>
        <v>0.1830425824822661</v>
      </c>
      <c r="G838" s="4">
        <f>Table1[[#This Row],[Life expectancy at birth, total (years) '[SP.DYN.LE00.IN']]]/Table1[[#This Row],[Current health expenditure per capita (current US$) '[SH.XPD.CHEX.PC.CD']]]*1000</f>
        <v>183.04258248226608</v>
      </c>
    </row>
    <row r="839" spans="1:7" x14ac:dyDescent="0.25">
      <c r="A839" s="5" t="s">
        <v>280</v>
      </c>
      <c r="B839" s="6" t="s">
        <v>301</v>
      </c>
      <c r="C839" s="5">
        <v>2020</v>
      </c>
      <c r="D839" s="7">
        <v>364.76513671999999</v>
      </c>
      <c r="E839" s="11">
        <v>71.451999999999998</v>
      </c>
      <c r="F839" s="10">
        <f>Table1[[#This Row],[Life expectancy at birth, total (years) '[SP.DYN.LE00.IN']]]/Table1[[#This Row],[Current health expenditure per capita (current US$) '[SH.XPD.CHEX.PC.CD']]]</f>
        <v>0.19588494844244883</v>
      </c>
      <c r="G839" s="4">
        <f>Table1[[#This Row],[Life expectancy at birth, total (years) '[SP.DYN.LE00.IN']]]/Table1[[#This Row],[Current health expenditure per capita (current US$) '[SH.XPD.CHEX.PC.CD']]]*1000</f>
        <v>195.88494844244883</v>
      </c>
    </row>
    <row r="840" spans="1:7" x14ac:dyDescent="0.25">
      <c r="A840" s="5" t="s">
        <v>280</v>
      </c>
      <c r="B840" s="6" t="s">
        <v>301</v>
      </c>
      <c r="C840" s="5">
        <v>2021</v>
      </c>
      <c r="D840" s="7">
        <v>413.36227416999998</v>
      </c>
      <c r="E840" s="11">
        <v>69.084999999999994</v>
      </c>
      <c r="F840" s="10">
        <f>Table1[[#This Row],[Life expectancy at birth, total (years) '[SP.DYN.LE00.IN']]]/Table1[[#This Row],[Current health expenditure per capita (current US$) '[SH.XPD.CHEX.PC.CD']]]</f>
        <v>0.16712942693843413</v>
      </c>
      <c r="G840" s="4">
        <f>Table1[[#This Row],[Life expectancy at birth, total (years) '[SP.DYN.LE00.IN']]]/Table1[[#This Row],[Current health expenditure per capita (current US$) '[SH.XPD.CHEX.PC.CD']]]*1000</f>
        <v>167.12942693843414</v>
      </c>
    </row>
    <row r="841" spans="1:7" x14ac:dyDescent="0.25">
      <c r="A841" s="5" t="s">
        <v>280</v>
      </c>
      <c r="B841" s="6" t="s">
        <v>301</v>
      </c>
      <c r="C841" s="5">
        <v>2022</v>
      </c>
      <c r="D841" s="7">
        <v>521.12023925999995</v>
      </c>
      <c r="E841" s="11">
        <v>71.480999999999995</v>
      </c>
      <c r="F841" s="10">
        <f>Table1[[#This Row],[Life expectancy at birth, total (years) '[SP.DYN.LE00.IN']]]/Table1[[#This Row],[Current health expenditure per capita (current US$) '[SH.XPD.CHEX.PC.CD']]]</f>
        <v>0.13716795974284993</v>
      </c>
      <c r="G841" s="4">
        <f>Table1[[#This Row],[Life expectancy at birth, total (years) '[SP.DYN.LE00.IN']]]/Table1[[#This Row],[Current health expenditure per capita (current US$) '[SH.XPD.CHEX.PC.CD']]]*1000</f>
        <v>137.16795974284992</v>
      </c>
    </row>
    <row r="842" spans="1:7" x14ac:dyDescent="0.25">
      <c r="A842" s="5" t="s">
        <v>280</v>
      </c>
      <c r="B842" s="6" t="s">
        <v>301</v>
      </c>
      <c r="C842" s="5">
        <v>2023</v>
      </c>
      <c r="D842" s="7">
        <v>520.15704345999995</v>
      </c>
      <c r="E842" s="11">
        <v>71.478999999999999</v>
      </c>
      <c r="F842" s="10">
        <f>Table1[[#This Row],[Life expectancy at birth, total (years) '[SP.DYN.LE00.IN']]]/Table1[[#This Row],[Current health expenditure per capita (current US$) '[SH.XPD.CHEX.PC.CD']]]</f>
        <v>0.13741811419976807</v>
      </c>
      <c r="G842" s="4">
        <f>Table1[[#This Row],[Life expectancy at birth, total (years) '[SP.DYN.LE00.IN']]]/Table1[[#This Row],[Current health expenditure per capita (current US$) '[SH.XPD.CHEX.PC.CD']]]*1000</f>
        <v>137.41811419976807</v>
      </c>
    </row>
    <row r="843" spans="1:7" hidden="1" x14ac:dyDescent="0.25">
      <c r="B843" s="1"/>
      <c r="D843" s="3"/>
      <c r="E843"/>
      <c r="F843" t="e">
        <f>Table1[[#This Row],[Life expectancy at birth, total (years) '[SP.DYN.LE00.IN']]]/Table1[[#This Row],[Current health expenditure per capita (current US$) '[SH.XPD.CHEX.PC.CD']]]</f>
        <v>#DIV/0!</v>
      </c>
      <c r="G843" s="2" t="e">
        <f>Table1[[#This Row],[Life expectancy at birth, total (years) '[SP.DYN.LE00.IN']]]/Table1[[#This Row],[Current health expenditure per capita (current US$) '[SH.XPD.CHEX.PC.CD']]]*1000</f>
        <v>#DIV/0!</v>
      </c>
    </row>
    <row r="844" spans="1:7" x14ac:dyDescent="0.25">
      <c r="A844" s="5" t="s">
        <v>157</v>
      </c>
      <c r="B844" s="6" t="s">
        <v>22</v>
      </c>
      <c r="C844" s="5">
        <v>2015</v>
      </c>
      <c r="D844" s="7">
        <v>3754.1811523400002</v>
      </c>
      <c r="E844" s="11">
        <v>83.793902439024393</v>
      </c>
      <c r="F844" s="10">
        <f>Table1[[#This Row],[Life expectancy at birth, total (years) '[SP.DYN.LE00.IN']]]/Table1[[#This Row],[Current health expenditure per capita (current US$) '[SH.XPD.CHEX.PC.CD']]]</f>
        <v>2.2320154259683294E-2</v>
      </c>
      <c r="G844" s="4">
        <f>Table1[[#This Row],[Life expectancy at birth, total (years) '[SP.DYN.LE00.IN']]]/Table1[[#This Row],[Current health expenditure per capita (current US$) '[SH.XPD.CHEX.PC.CD']]]*1000</f>
        <v>22.320154259683292</v>
      </c>
    </row>
    <row r="845" spans="1:7" x14ac:dyDescent="0.25">
      <c r="A845" s="5" t="s">
        <v>157</v>
      </c>
      <c r="B845" s="6" t="s">
        <v>22</v>
      </c>
      <c r="C845" s="5">
        <v>2016</v>
      </c>
      <c r="D845" s="7">
        <v>4194.2280273400002</v>
      </c>
      <c r="E845" s="11">
        <v>83.984878048780502</v>
      </c>
      <c r="F845" s="10">
        <f>Table1[[#This Row],[Life expectancy at birth, total (years) '[SP.DYN.LE00.IN']]]/Table1[[#This Row],[Current health expenditure per capita (current US$) '[SH.XPD.CHEX.PC.CD']]]</f>
        <v>2.0023917989514778E-2</v>
      </c>
      <c r="G845" s="4">
        <f>Table1[[#This Row],[Life expectancy at birth, total (years) '[SP.DYN.LE00.IN']]]/Table1[[#This Row],[Current health expenditure per capita (current US$) '[SH.XPD.CHEX.PC.CD']]]*1000</f>
        <v>20.023917989514779</v>
      </c>
    </row>
    <row r="846" spans="1:7" x14ac:dyDescent="0.25">
      <c r="A846" s="5" t="s">
        <v>157</v>
      </c>
      <c r="B846" s="6" t="s">
        <v>22</v>
      </c>
      <c r="C846" s="5">
        <v>2017</v>
      </c>
      <c r="D846" s="7">
        <v>4135.2431640599998</v>
      </c>
      <c r="E846" s="11">
        <v>84.099756097560984</v>
      </c>
      <c r="F846" s="10">
        <f>Table1[[#This Row],[Life expectancy at birth, total (years) '[SP.DYN.LE00.IN']]]/Table1[[#This Row],[Current health expenditure per capita (current US$) '[SH.XPD.CHEX.PC.CD']]]</f>
        <v>2.0337318208632615E-2</v>
      </c>
      <c r="G846" s="4">
        <f>Table1[[#This Row],[Life expectancy at birth, total (years) '[SP.DYN.LE00.IN']]]/Table1[[#This Row],[Current health expenditure per capita (current US$) '[SH.XPD.CHEX.PC.CD']]]*1000</f>
        <v>20.337318208632613</v>
      </c>
    </row>
    <row r="847" spans="1:7" x14ac:dyDescent="0.25">
      <c r="A847" s="5" t="s">
        <v>157</v>
      </c>
      <c r="B847" s="6" t="s">
        <v>22</v>
      </c>
      <c r="C847" s="5">
        <v>2018</v>
      </c>
      <c r="D847" s="7">
        <v>4265.7792968800004</v>
      </c>
      <c r="E847" s="11">
        <v>84.210975609756105</v>
      </c>
      <c r="F847" s="10">
        <f>Table1[[#This Row],[Life expectancy at birth, total (years) '[SP.DYN.LE00.IN']]]/Table1[[#This Row],[Current health expenditure per capita (current US$) '[SH.XPD.CHEX.PC.CD']]]</f>
        <v>1.9741053099335961E-2</v>
      </c>
      <c r="G847" s="4">
        <f>Table1[[#This Row],[Life expectancy at birth, total (years) '[SP.DYN.LE00.IN']]]/Table1[[#This Row],[Current health expenditure per capita (current US$) '[SH.XPD.CHEX.PC.CD']]]*1000</f>
        <v>19.741053099335961</v>
      </c>
    </row>
    <row r="848" spans="1:7" x14ac:dyDescent="0.25">
      <c r="A848" s="5" t="s">
        <v>157</v>
      </c>
      <c r="B848" s="6" t="s">
        <v>22</v>
      </c>
      <c r="C848" s="5">
        <v>2019</v>
      </c>
      <c r="D848" s="7">
        <v>4431.2998046900002</v>
      </c>
      <c r="E848" s="11">
        <v>84.356341463414637</v>
      </c>
      <c r="F848" s="10">
        <f>Table1[[#This Row],[Life expectancy at birth, total (years) '[SP.DYN.LE00.IN']]]/Table1[[#This Row],[Current health expenditure per capita (current US$) '[SH.XPD.CHEX.PC.CD']]]</f>
        <v>1.9036478049653412E-2</v>
      </c>
      <c r="G848" s="4">
        <f>Table1[[#This Row],[Life expectancy at birth, total (years) '[SP.DYN.LE00.IN']]]/Table1[[#This Row],[Current health expenditure per capita (current US$) '[SH.XPD.CHEX.PC.CD']]]*1000</f>
        <v>19.036478049653411</v>
      </c>
    </row>
    <row r="849" spans="1:7" x14ac:dyDescent="0.25">
      <c r="A849" s="5" t="s">
        <v>157</v>
      </c>
      <c r="B849" s="6" t="s">
        <v>22</v>
      </c>
      <c r="C849" s="5">
        <v>2020</v>
      </c>
      <c r="D849" s="7">
        <v>4581.6098632800004</v>
      </c>
      <c r="E849" s="11">
        <v>84.560000000000016</v>
      </c>
      <c r="F849" s="10">
        <f>Table1[[#This Row],[Life expectancy at birth, total (years) '[SP.DYN.LE00.IN']]]/Table1[[#This Row],[Current health expenditure per capita (current US$) '[SH.XPD.CHEX.PC.CD']]]</f>
        <v>1.8456394700412802E-2</v>
      </c>
      <c r="G849" s="4">
        <f>Table1[[#This Row],[Life expectancy at birth, total (years) '[SP.DYN.LE00.IN']]]/Table1[[#This Row],[Current health expenditure per capita (current US$) '[SH.XPD.CHEX.PC.CD']]]*1000</f>
        <v>18.456394700412801</v>
      </c>
    </row>
    <row r="850" spans="1:7" x14ac:dyDescent="0.25">
      <c r="A850" s="5" t="s">
        <v>157</v>
      </c>
      <c r="B850" s="6" t="s">
        <v>22</v>
      </c>
      <c r="C850" s="5">
        <v>2021</v>
      </c>
      <c r="D850" s="7">
        <v>4843.9443359400002</v>
      </c>
      <c r="E850" s="11">
        <v>84.445609756097568</v>
      </c>
      <c r="F850" s="10">
        <f>Table1[[#This Row],[Life expectancy at birth, total (years) '[SP.DYN.LE00.IN']]]/Table1[[#This Row],[Current health expenditure per capita (current US$) '[SH.XPD.CHEX.PC.CD']]]</f>
        <v>1.7433232898558963E-2</v>
      </c>
      <c r="G850" s="4">
        <f>Table1[[#This Row],[Life expectancy at birth, total (years) '[SP.DYN.LE00.IN']]]/Table1[[#This Row],[Current health expenditure per capita (current US$) '[SH.XPD.CHEX.PC.CD']]]*1000</f>
        <v>17.433232898558963</v>
      </c>
    </row>
    <row r="851" spans="1:7" x14ac:dyDescent="0.25">
      <c r="A851" s="5" t="s">
        <v>157</v>
      </c>
      <c r="B851" s="6" t="s">
        <v>22</v>
      </c>
      <c r="C851" s="5">
        <v>2022</v>
      </c>
      <c r="D851" s="7">
        <v>4201.7924804699996</v>
      </c>
      <c r="E851" s="11">
        <v>83.996341463414637</v>
      </c>
      <c r="F851" s="10">
        <f>Table1[[#This Row],[Life expectancy at birth, total (years) '[SP.DYN.LE00.IN']]]/Table1[[#This Row],[Current health expenditure per capita (current US$) '[SH.XPD.CHEX.PC.CD']]]</f>
        <v>1.9990597311464336E-2</v>
      </c>
      <c r="G851" s="4">
        <f>Table1[[#This Row],[Life expectancy at birth, total (years) '[SP.DYN.LE00.IN']]]/Table1[[#This Row],[Current health expenditure per capita (current US$) '[SH.XPD.CHEX.PC.CD']]]*1000</f>
        <v>19.990597311464334</v>
      </c>
    </row>
    <row r="852" spans="1:7" x14ac:dyDescent="0.25">
      <c r="A852" s="5" t="s">
        <v>157</v>
      </c>
      <c r="B852" s="6" t="s">
        <v>22</v>
      </c>
      <c r="C852" s="5">
        <v>2023</v>
      </c>
      <c r="D852" s="7">
        <v>3638.1928710900002</v>
      </c>
      <c r="E852" s="11">
        <v>84.041219512195127</v>
      </c>
      <c r="F852" s="10">
        <f>Table1[[#This Row],[Life expectancy at birth, total (years) '[SP.DYN.LE00.IN']]]/Table1[[#This Row],[Current health expenditure per capita (current US$) '[SH.XPD.CHEX.PC.CD']]]</f>
        <v>2.309971529547207E-2</v>
      </c>
      <c r="G852" s="4">
        <f>Table1[[#This Row],[Life expectancy at birth, total (years) '[SP.DYN.LE00.IN']]]/Table1[[#This Row],[Current health expenditure per capita (current US$) '[SH.XPD.CHEX.PC.CD']]]*1000</f>
        <v>23.09971529547207</v>
      </c>
    </row>
    <row r="853" spans="1:7" hidden="1" x14ac:dyDescent="0.25">
      <c r="B853" s="1"/>
      <c r="D853" s="3"/>
      <c r="E853"/>
      <c r="F853" t="e">
        <f>Table1[[#This Row],[Life expectancy at birth, total (years) '[SP.DYN.LE00.IN']]]/Table1[[#This Row],[Current health expenditure per capita (current US$) '[SH.XPD.CHEX.PC.CD']]]</f>
        <v>#DIV/0!</v>
      </c>
      <c r="G853" s="2" t="e">
        <f>Table1[[#This Row],[Life expectancy at birth, total (years) '[SP.DYN.LE00.IN']]]/Table1[[#This Row],[Current health expenditure per capita (current US$) '[SH.XPD.CHEX.PC.CD']]]*1000</f>
        <v>#DIV/0!</v>
      </c>
    </row>
    <row r="854" spans="1:7" x14ac:dyDescent="0.25">
      <c r="A854" s="5" t="s">
        <v>373</v>
      </c>
      <c r="B854" s="6" t="s">
        <v>287</v>
      </c>
      <c r="C854" s="5">
        <v>2015</v>
      </c>
      <c r="D854" s="7">
        <v>301.63067626999998</v>
      </c>
      <c r="E854" s="11">
        <v>75.06</v>
      </c>
      <c r="F854" s="10">
        <f>Table1[[#This Row],[Life expectancy at birth, total (years) '[SP.DYN.LE00.IN']]]/Table1[[#This Row],[Current health expenditure per capita (current US$) '[SH.XPD.CHEX.PC.CD']]]</f>
        <v>0.24884736833866067</v>
      </c>
      <c r="G854" s="4">
        <f>Table1[[#This Row],[Life expectancy at birth, total (years) '[SP.DYN.LE00.IN']]]/Table1[[#This Row],[Current health expenditure per capita (current US$) '[SH.XPD.CHEX.PC.CD']]]*1000</f>
        <v>248.84736833866066</v>
      </c>
    </row>
    <row r="855" spans="1:7" x14ac:dyDescent="0.25">
      <c r="A855" s="5" t="s">
        <v>373</v>
      </c>
      <c r="B855" s="6" t="s">
        <v>287</v>
      </c>
      <c r="C855" s="5">
        <v>2016</v>
      </c>
      <c r="D855" s="7">
        <v>278.13378906000003</v>
      </c>
      <c r="E855" s="11">
        <v>75.55</v>
      </c>
      <c r="F855" s="10">
        <f>Table1[[#This Row],[Life expectancy at birth, total (years) '[SP.DYN.LE00.IN']]]/Table1[[#This Row],[Current health expenditure per capita (current US$) '[SH.XPD.CHEX.PC.CD']]]</f>
        <v>0.27163186556848756</v>
      </c>
      <c r="G855" s="4">
        <f>Table1[[#This Row],[Life expectancy at birth, total (years) '[SP.DYN.LE00.IN']]]/Table1[[#This Row],[Current health expenditure per capita (current US$) '[SH.XPD.CHEX.PC.CD']]]*1000</f>
        <v>271.63186556848757</v>
      </c>
    </row>
    <row r="856" spans="1:7" x14ac:dyDescent="0.25">
      <c r="A856" s="5" t="s">
        <v>373</v>
      </c>
      <c r="B856" s="6" t="s">
        <v>287</v>
      </c>
      <c r="C856" s="5">
        <v>2017</v>
      </c>
      <c r="D856" s="7">
        <v>289.04656982</v>
      </c>
      <c r="E856" s="11">
        <v>76.070999999999998</v>
      </c>
      <c r="F856" s="10">
        <f>Table1[[#This Row],[Life expectancy at birth, total (years) '[SP.DYN.LE00.IN']]]/Table1[[#This Row],[Current health expenditure per capita (current US$) '[SH.XPD.CHEX.PC.CD']]]</f>
        <v>0.26317904428816513</v>
      </c>
      <c r="G856" s="4">
        <f>Table1[[#This Row],[Life expectancy at birth, total (years) '[SP.DYN.LE00.IN']]]/Table1[[#This Row],[Current health expenditure per capita (current US$) '[SH.XPD.CHEX.PC.CD']]]*1000</f>
        <v>263.17904428816513</v>
      </c>
    </row>
    <row r="857" spans="1:7" x14ac:dyDescent="0.25">
      <c r="A857" s="5" t="s">
        <v>373</v>
      </c>
      <c r="B857" s="6" t="s">
        <v>287</v>
      </c>
      <c r="C857" s="5">
        <v>2018</v>
      </c>
      <c r="D857" s="7">
        <v>289.47106933999999</v>
      </c>
      <c r="E857" s="11">
        <v>76.491</v>
      </c>
      <c r="F857" s="10">
        <f>Table1[[#This Row],[Life expectancy at birth, total (years) '[SP.DYN.LE00.IN']]]/Table1[[#This Row],[Current health expenditure per capita (current US$) '[SH.XPD.CHEX.PC.CD']]]</f>
        <v>0.26424402332986524</v>
      </c>
      <c r="G857" s="4">
        <f>Table1[[#This Row],[Life expectancy at birth, total (years) '[SP.DYN.LE00.IN']]]/Table1[[#This Row],[Current health expenditure per capita (current US$) '[SH.XPD.CHEX.PC.CD']]]*1000</f>
        <v>264.24402332986523</v>
      </c>
    </row>
    <row r="858" spans="1:7" x14ac:dyDescent="0.25">
      <c r="A858" s="5" t="s">
        <v>373</v>
      </c>
      <c r="B858" s="6" t="s">
        <v>287</v>
      </c>
      <c r="C858" s="5">
        <v>2019</v>
      </c>
      <c r="D858" s="7">
        <v>294.92785644999998</v>
      </c>
      <c r="E858" s="11">
        <v>76.864999999999995</v>
      </c>
      <c r="F858" s="10">
        <f>Table1[[#This Row],[Life expectancy at birth, total (years) '[SP.DYN.LE00.IN']]]/Table1[[#This Row],[Current health expenditure per capita (current US$) '[SH.XPD.CHEX.PC.CD']]]</f>
        <v>0.26062305855137546</v>
      </c>
      <c r="G858" s="4">
        <f>Table1[[#This Row],[Life expectancy at birth, total (years) '[SP.DYN.LE00.IN']]]/Table1[[#This Row],[Current health expenditure per capita (current US$) '[SH.XPD.CHEX.PC.CD']]]*1000</f>
        <v>260.62305855137544</v>
      </c>
    </row>
    <row r="859" spans="1:7" x14ac:dyDescent="0.25">
      <c r="A859" s="5" t="s">
        <v>373</v>
      </c>
      <c r="B859" s="6" t="s">
        <v>287</v>
      </c>
      <c r="C859" s="5">
        <v>2020</v>
      </c>
      <c r="D859" s="7">
        <v>303.48229980000002</v>
      </c>
      <c r="E859" s="11">
        <v>75.582999999999998</v>
      </c>
      <c r="F859" s="10">
        <f>Table1[[#This Row],[Life expectancy at birth, total (years) '[SP.DYN.LE00.IN']]]/Table1[[#This Row],[Current health expenditure per capita (current US$) '[SH.XPD.CHEX.PC.CD']]]</f>
        <v>0.24905241607108711</v>
      </c>
      <c r="G859" s="4">
        <f>Table1[[#This Row],[Life expectancy at birth, total (years) '[SP.DYN.LE00.IN']]]/Table1[[#This Row],[Current health expenditure per capita (current US$) '[SH.XPD.CHEX.PC.CD']]]*1000</f>
        <v>249.05241607108709</v>
      </c>
    </row>
    <row r="860" spans="1:7" x14ac:dyDescent="0.25">
      <c r="A860" s="5" t="s">
        <v>373</v>
      </c>
      <c r="B860" s="6" t="s">
        <v>287</v>
      </c>
      <c r="C860" s="5">
        <v>2021</v>
      </c>
      <c r="D860" s="7">
        <v>322.01589966</v>
      </c>
      <c r="E860" s="11">
        <v>74.203999999999994</v>
      </c>
      <c r="F860" s="10">
        <f>Table1[[#This Row],[Life expectancy at birth, total (years) '[SP.DYN.LE00.IN']]]/Table1[[#This Row],[Current health expenditure per capita (current US$) '[SH.XPD.CHEX.PC.CD']]]</f>
        <v>0.23043582654877653</v>
      </c>
      <c r="G860" s="4">
        <f>Table1[[#This Row],[Life expectancy at birth, total (years) '[SP.DYN.LE00.IN']]]/Table1[[#This Row],[Current health expenditure per capita (current US$) '[SH.XPD.CHEX.PC.CD']]]*1000</f>
        <v>230.43582654877653</v>
      </c>
    </row>
    <row r="861" spans="1:7" x14ac:dyDescent="0.25">
      <c r="A861" s="5" t="s">
        <v>373</v>
      </c>
      <c r="B861" s="6" t="s">
        <v>287</v>
      </c>
      <c r="C861" s="5">
        <v>2022</v>
      </c>
      <c r="D861" s="7">
        <v>334.38714599999997</v>
      </c>
      <c r="E861" s="11">
        <v>77.087999999999994</v>
      </c>
      <c r="F861" s="10">
        <f>Table1[[#This Row],[Life expectancy at birth, total (years) '[SP.DYN.LE00.IN']]]/Table1[[#This Row],[Current health expenditure per capita (current US$) '[SH.XPD.CHEX.PC.CD']]]</f>
        <v>0.23053517733005205</v>
      </c>
      <c r="G861" s="4">
        <f>Table1[[#This Row],[Life expectancy at birth, total (years) '[SP.DYN.LE00.IN']]]/Table1[[#This Row],[Current health expenditure per capita (current US$) '[SH.XPD.CHEX.PC.CD']]]*1000</f>
        <v>230.53517733005205</v>
      </c>
    </row>
    <row r="862" spans="1:7" x14ac:dyDescent="0.25">
      <c r="A862" s="5" t="s">
        <v>373</v>
      </c>
      <c r="B862" s="6" t="s">
        <v>287</v>
      </c>
      <c r="C862" s="5">
        <v>2023</v>
      </c>
      <c r="D862" s="7">
        <v>342.10394287000003</v>
      </c>
      <c r="E862" s="11">
        <v>77.813999999999993</v>
      </c>
      <c r="F862" s="10">
        <f>Table1[[#This Row],[Life expectancy at birth, total (years) '[SP.DYN.LE00.IN']]]/Table1[[#This Row],[Current health expenditure per capita (current US$) '[SH.XPD.CHEX.PC.CD']]]</f>
        <v>0.22745718551852359</v>
      </c>
      <c r="G862" s="4">
        <f>Table1[[#This Row],[Life expectancy at birth, total (years) '[SP.DYN.LE00.IN']]]/Table1[[#This Row],[Current health expenditure per capita (current US$) '[SH.XPD.CHEX.PC.CD']]]*1000</f>
        <v>227.4571855185236</v>
      </c>
    </row>
    <row r="863" spans="1:7" hidden="1" x14ac:dyDescent="0.25">
      <c r="B863" s="1"/>
      <c r="D863" s="3"/>
      <c r="E863"/>
      <c r="F863" t="e">
        <f>Table1[[#This Row],[Life expectancy at birth, total (years) '[SP.DYN.LE00.IN']]]/Table1[[#This Row],[Current health expenditure per capita (current US$) '[SH.XPD.CHEX.PC.CD']]]</f>
        <v>#DIV/0!</v>
      </c>
      <c r="G863" s="2" t="e">
        <f>Table1[[#This Row],[Life expectancy at birth, total (years) '[SP.DYN.LE00.IN']]]/Table1[[#This Row],[Current health expenditure per capita (current US$) '[SH.XPD.CHEX.PC.CD']]]*1000</f>
        <v>#DIV/0!</v>
      </c>
    </row>
    <row r="864" spans="1:7" x14ac:dyDescent="0.25">
      <c r="A864" s="5" t="s">
        <v>385</v>
      </c>
      <c r="B864" s="6" t="s">
        <v>3</v>
      </c>
      <c r="C864" s="5">
        <v>2015</v>
      </c>
      <c r="D864" s="7">
        <v>310.01428222999999</v>
      </c>
      <c r="E864" s="11">
        <v>72.024000000000001</v>
      </c>
      <c r="F864" s="10">
        <f>Table1[[#This Row],[Life expectancy at birth, total (years) '[SP.DYN.LE00.IN']]]/Table1[[#This Row],[Current health expenditure per capita (current US$) '[SH.XPD.CHEX.PC.CD']]]</f>
        <v>0.23232478027114023</v>
      </c>
      <c r="G864" s="4">
        <f>Table1[[#This Row],[Life expectancy at birth, total (years) '[SP.DYN.LE00.IN']]]/Table1[[#This Row],[Current health expenditure per capita (current US$) '[SH.XPD.CHEX.PC.CD']]]*1000</f>
        <v>232.32478027114024</v>
      </c>
    </row>
    <row r="865" spans="1:7" x14ac:dyDescent="0.25">
      <c r="A865" s="5" t="s">
        <v>385</v>
      </c>
      <c r="B865" s="6" t="s">
        <v>3</v>
      </c>
      <c r="C865" s="5">
        <v>2016</v>
      </c>
      <c r="D865" s="7">
        <v>255.84049988000001</v>
      </c>
      <c r="E865" s="11">
        <v>72.549000000000007</v>
      </c>
      <c r="F865" s="10">
        <f>Table1[[#This Row],[Life expectancy at birth, total (years) '[SP.DYN.LE00.IN']]]/Table1[[#This Row],[Current health expenditure per capita (current US$) '[SH.XPD.CHEX.PC.CD']]]</f>
        <v>0.28357120953886716</v>
      </c>
      <c r="G865" s="4">
        <f>Table1[[#This Row],[Life expectancy at birth, total (years) '[SP.DYN.LE00.IN']]]/Table1[[#This Row],[Current health expenditure per capita (current US$) '[SH.XPD.CHEX.PC.CD']]]*1000</f>
        <v>283.57120953886715</v>
      </c>
    </row>
    <row r="866" spans="1:7" x14ac:dyDescent="0.25">
      <c r="A866" s="5" t="s">
        <v>385</v>
      </c>
      <c r="B866" s="6" t="s">
        <v>3</v>
      </c>
      <c r="C866" s="5">
        <v>2017</v>
      </c>
      <c r="D866" s="7">
        <v>272.98272704999999</v>
      </c>
      <c r="E866" s="11">
        <v>72.995999999999995</v>
      </c>
      <c r="F866" s="10">
        <f>Table1[[#This Row],[Life expectancy at birth, total (years) '[SP.DYN.LE00.IN']]]/Table1[[#This Row],[Current health expenditure per capita (current US$) '[SH.XPD.CHEX.PC.CD']]]</f>
        <v>0.26740153411475709</v>
      </c>
      <c r="G866" s="4">
        <f>Table1[[#This Row],[Life expectancy at birth, total (years) '[SP.DYN.LE00.IN']]]/Table1[[#This Row],[Current health expenditure per capita (current US$) '[SH.XPD.CHEX.PC.CD']]]*1000</f>
        <v>267.40153411475711</v>
      </c>
    </row>
    <row r="867" spans="1:7" x14ac:dyDescent="0.25">
      <c r="A867" s="5" t="s">
        <v>385</v>
      </c>
      <c r="B867" s="6" t="s">
        <v>3</v>
      </c>
      <c r="C867" s="5">
        <v>2018</v>
      </c>
      <c r="D867" s="7">
        <v>266.92147827000002</v>
      </c>
      <c r="E867" s="11">
        <v>73.369</v>
      </c>
      <c r="F867" s="10">
        <f>Table1[[#This Row],[Life expectancy at birth, total (years) '[SP.DYN.LE00.IN']]]/Table1[[#This Row],[Current health expenditure per capita (current US$) '[SH.XPD.CHEX.PC.CD']]]</f>
        <v>0.27487109870485882</v>
      </c>
      <c r="G867" s="4">
        <f>Table1[[#This Row],[Life expectancy at birth, total (years) '[SP.DYN.LE00.IN']]]/Table1[[#This Row],[Current health expenditure per capita (current US$) '[SH.XPD.CHEX.PC.CD']]]*1000</f>
        <v>274.87109870485881</v>
      </c>
    </row>
    <row r="868" spans="1:7" x14ac:dyDescent="0.25">
      <c r="A868" s="5" t="s">
        <v>385</v>
      </c>
      <c r="B868" s="6" t="s">
        <v>3</v>
      </c>
      <c r="C868" s="5">
        <v>2019</v>
      </c>
      <c r="D868" s="7">
        <v>263.61331177</v>
      </c>
      <c r="E868" s="11">
        <v>73.658000000000001</v>
      </c>
      <c r="F868" s="10">
        <f>Table1[[#This Row],[Life expectancy at birth, total (years) '[SP.DYN.LE00.IN']]]/Table1[[#This Row],[Current health expenditure per capita (current US$) '[SH.XPD.CHEX.PC.CD']]]</f>
        <v>0.27941684547503381</v>
      </c>
      <c r="G868" s="4">
        <f>Table1[[#This Row],[Life expectancy at birth, total (years) '[SP.DYN.LE00.IN']]]/Table1[[#This Row],[Current health expenditure per capita (current US$) '[SH.XPD.CHEX.PC.CD']]]*1000</f>
        <v>279.41684547503382</v>
      </c>
    </row>
    <row r="869" spans="1:7" x14ac:dyDescent="0.25">
      <c r="A869" s="5" t="s">
        <v>385</v>
      </c>
      <c r="B869" s="6" t="s">
        <v>3</v>
      </c>
      <c r="C869" s="5">
        <v>2020</v>
      </c>
      <c r="D869" s="7">
        <v>329.57086182</v>
      </c>
      <c r="E869" s="11">
        <v>71.194999999999993</v>
      </c>
      <c r="F869" s="10">
        <f>Table1[[#This Row],[Life expectancy at birth, total (years) '[SP.DYN.LE00.IN']]]/Table1[[#This Row],[Current health expenditure per capita (current US$) '[SH.XPD.CHEX.PC.CD']]]</f>
        <v>0.21602334504584994</v>
      </c>
      <c r="G869" s="4">
        <f>Table1[[#This Row],[Life expectancy at birth, total (years) '[SP.DYN.LE00.IN']]]/Table1[[#This Row],[Current health expenditure per capita (current US$) '[SH.XPD.CHEX.PC.CD']]]*1000</f>
        <v>216.02334504584994</v>
      </c>
    </row>
    <row r="870" spans="1:7" x14ac:dyDescent="0.25">
      <c r="A870" s="5" t="s">
        <v>385</v>
      </c>
      <c r="B870" s="6" t="s">
        <v>3</v>
      </c>
      <c r="C870" s="5">
        <v>2021</v>
      </c>
      <c r="D870" s="7">
        <v>391.81536864999998</v>
      </c>
      <c r="E870" s="11">
        <v>70.131</v>
      </c>
      <c r="F870" s="10">
        <f>Table1[[#This Row],[Life expectancy at birth, total (years) '[SP.DYN.LE00.IN']]]/Table1[[#This Row],[Current health expenditure per capita (current US$) '[SH.XPD.CHEX.PC.CD']]]</f>
        <v>0.17898991619863303</v>
      </c>
      <c r="G870" s="4">
        <f>Table1[[#This Row],[Life expectancy at birth, total (years) '[SP.DYN.LE00.IN']]]/Table1[[#This Row],[Current health expenditure per capita (current US$) '[SH.XPD.CHEX.PC.CD']]]*1000</f>
        <v>178.98991619863301</v>
      </c>
    </row>
    <row r="871" spans="1:7" x14ac:dyDescent="0.25">
      <c r="A871" s="5" t="s">
        <v>385</v>
      </c>
      <c r="B871" s="6" t="s">
        <v>3</v>
      </c>
      <c r="C871" s="5">
        <v>2022</v>
      </c>
      <c r="D871" s="7">
        <v>421.60028075999998</v>
      </c>
      <c r="E871" s="11">
        <v>73.503</v>
      </c>
      <c r="F871" s="10">
        <f>Table1[[#This Row],[Life expectancy at birth, total (years) '[SP.DYN.LE00.IN']]]/Table1[[#This Row],[Current health expenditure per capita (current US$) '[SH.XPD.CHEX.PC.CD']]]</f>
        <v>0.17434286302537425</v>
      </c>
      <c r="G871" s="4">
        <f>Table1[[#This Row],[Life expectancy at birth, total (years) '[SP.DYN.LE00.IN']]]/Table1[[#This Row],[Current health expenditure per capita (current US$) '[SH.XPD.CHEX.PC.CD']]]*1000</f>
        <v>174.34286302537424</v>
      </c>
    </row>
    <row r="872" spans="1:7" x14ac:dyDescent="0.25">
      <c r="A872" s="5" t="s">
        <v>385</v>
      </c>
      <c r="B872" s="6" t="s">
        <v>3</v>
      </c>
      <c r="C872" s="5">
        <v>2023</v>
      </c>
      <c r="D872" s="7">
        <v>489.71456909</v>
      </c>
      <c r="E872" s="11">
        <v>74.402000000000001</v>
      </c>
      <c r="F872" s="10">
        <f>Table1[[#This Row],[Life expectancy at birth, total (years) '[SP.DYN.LE00.IN']]]/Table1[[#This Row],[Current health expenditure per capita (current US$) '[SH.XPD.CHEX.PC.CD']]]</f>
        <v>0.15192931698612863</v>
      </c>
      <c r="G872" s="4">
        <f>Table1[[#This Row],[Life expectancy at birth, total (years) '[SP.DYN.LE00.IN']]]/Table1[[#This Row],[Current health expenditure per capita (current US$) '[SH.XPD.CHEX.PC.CD']]]*1000</f>
        <v>151.92931698612864</v>
      </c>
    </row>
    <row r="873" spans="1:7" hidden="1" x14ac:dyDescent="0.25">
      <c r="B873" s="1"/>
      <c r="D873" s="3"/>
      <c r="E873"/>
      <c r="F873" t="e">
        <f>Table1[[#This Row],[Life expectancy at birth, total (years) '[SP.DYN.LE00.IN']]]/Table1[[#This Row],[Current health expenditure per capita (current US$) '[SH.XPD.CHEX.PC.CD']]]</f>
        <v>#DIV/0!</v>
      </c>
      <c r="G873" s="2" t="e">
        <f>Table1[[#This Row],[Life expectancy at birth, total (years) '[SP.DYN.LE00.IN']]]/Table1[[#This Row],[Current health expenditure per capita (current US$) '[SH.XPD.CHEX.PC.CD']]]*1000</f>
        <v>#DIV/0!</v>
      </c>
    </row>
    <row r="874" spans="1:7" x14ac:dyDescent="0.25">
      <c r="A874" s="5" t="s">
        <v>215</v>
      </c>
      <c r="B874" s="6" t="s">
        <v>92</v>
      </c>
      <c r="C874" s="5">
        <v>2015</v>
      </c>
      <c r="D874" s="7">
        <v>70.947555539999996</v>
      </c>
      <c r="E874" s="11">
        <v>62.279000000000003</v>
      </c>
      <c r="F874" s="10">
        <f>Table1[[#This Row],[Life expectancy at birth, total (years) '[SP.DYN.LE00.IN']]]/Table1[[#This Row],[Current health expenditure per capita (current US$) '[SH.XPD.CHEX.PC.CD']]]</f>
        <v>0.87781741775285427</v>
      </c>
      <c r="G874" s="4">
        <f>Table1[[#This Row],[Life expectancy at birth, total (years) '[SP.DYN.LE00.IN']]]/Table1[[#This Row],[Current health expenditure per capita (current US$) '[SH.XPD.CHEX.PC.CD']]]*1000</f>
        <v>877.81741775285423</v>
      </c>
    </row>
    <row r="875" spans="1:7" x14ac:dyDescent="0.25">
      <c r="A875" s="5" t="s">
        <v>215</v>
      </c>
      <c r="B875" s="6" t="s">
        <v>92</v>
      </c>
      <c r="C875" s="5">
        <v>2016</v>
      </c>
      <c r="D875" s="7">
        <v>73.88768005</v>
      </c>
      <c r="E875" s="11">
        <v>62.526000000000003</v>
      </c>
      <c r="F875" s="10">
        <f>Table1[[#This Row],[Life expectancy at birth, total (years) '[SP.DYN.LE00.IN']]]/Table1[[#This Row],[Current health expenditure per capita (current US$) '[SH.XPD.CHEX.PC.CD']]]</f>
        <v>0.8462303858733754</v>
      </c>
      <c r="G875" s="4">
        <f>Table1[[#This Row],[Life expectancy at birth, total (years) '[SP.DYN.LE00.IN']]]/Table1[[#This Row],[Current health expenditure per capita (current US$) '[SH.XPD.CHEX.PC.CD']]]*1000</f>
        <v>846.23038587337544</v>
      </c>
    </row>
    <row r="876" spans="1:7" x14ac:dyDescent="0.25">
      <c r="A876" s="5" t="s">
        <v>215</v>
      </c>
      <c r="B876" s="6" t="s">
        <v>92</v>
      </c>
      <c r="C876" s="5">
        <v>2017</v>
      </c>
      <c r="D876" s="7">
        <v>66.465522770000007</v>
      </c>
      <c r="E876" s="11">
        <v>62.725000000000001</v>
      </c>
      <c r="F876" s="10">
        <f>Table1[[#This Row],[Life expectancy at birth, total (years) '[SP.DYN.LE00.IN']]]/Table1[[#This Row],[Current health expenditure per capita (current US$) '[SH.XPD.CHEX.PC.CD']]]</f>
        <v>0.94372235989260389</v>
      </c>
      <c r="G876" s="4">
        <f>Table1[[#This Row],[Life expectancy at birth, total (years) '[SP.DYN.LE00.IN']]]/Table1[[#This Row],[Current health expenditure per capita (current US$) '[SH.XPD.CHEX.PC.CD']]]*1000</f>
        <v>943.72235989260389</v>
      </c>
    </row>
    <row r="877" spans="1:7" x14ac:dyDescent="0.25">
      <c r="A877" s="5" t="s">
        <v>215</v>
      </c>
      <c r="B877" s="6" t="s">
        <v>92</v>
      </c>
      <c r="C877" s="5">
        <v>2018</v>
      </c>
      <c r="D877" s="7">
        <v>75.276817320000006</v>
      </c>
      <c r="E877" s="11">
        <v>62.825000000000003</v>
      </c>
      <c r="F877" s="10">
        <f>Table1[[#This Row],[Life expectancy at birth, total (years) '[SP.DYN.LE00.IN']]]/Table1[[#This Row],[Current health expenditure per capita (current US$) '[SH.XPD.CHEX.PC.CD']]]</f>
        <v>0.83458629411671836</v>
      </c>
      <c r="G877" s="4">
        <f>Table1[[#This Row],[Life expectancy at birth, total (years) '[SP.DYN.LE00.IN']]]/Table1[[#This Row],[Current health expenditure per capita (current US$) '[SH.XPD.CHEX.PC.CD']]]*1000</f>
        <v>834.58629411671836</v>
      </c>
    </row>
    <row r="878" spans="1:7" x14ac:dyDescent="0.25">
      <c r="A878" s="5" t="s">
        <v>215</v>
      </c>
      <c r="B878" s="6" t="s">
        <v>92</v>
      </c>
      <c r="C878" s="5">
        <v>2019</v>
      </c>
      <c r="D878" s="7">
        <v>85.645286560000002</v>
      </c>
      <c r="E878" s="11">
        <v>62.939</v>
      </c>
      <c r="F878" s="10">
        <f>Table1[[#This Row],[Life expectancy at birth, total (years) '[SP.DYN.LE00.IN']]]/Table1[[#This Row],[Current health expenditure per capita (current US$) '[SH.XPD.CHEX.PC.CD']]]</f>
        <v>0.73487990440556472</v>
      </c>
      <c r="G878" s="4">
        <f>Table1[[#This Row],[Life expectancy at birth, total (years) '[SP.DYN.LE00.IN']]]/Table1[[#This Row],[Current health expenditure per capita (current US$) '[SH.XPD.CHEX.PC.CD']]]*1000</f>
        <v>734.87990440556473</v>
      </c>
    </row>
    <row r="879" spans="1:7" x14ac:dyDescent="0.25">
      <c r="A879" s="5" t="s">
        <v>215</v>
      </c>
      <c r="B879" s="6" t="s">
        <v>92</v>
      </c>
      <c r="C879" s="5">
        <v>2020</v>
      </c>
      <c r="D879" s="7">
        <v>86.592193600000002</v>
      </c>
      <c r="E879" s="11">
        <v>61.595999999999997</v>
      </c>
      <c r="F879" s="10">
        <f>Table1[[#This Row],[Life expectancy at birth, total (years) '[SP.DYN.LE00.IN']]]/Table1[[#This Row],[Current health expenditure per capita (current US$) '[SH.XPD.CHEX.PC.CD']]]</f>
        <v>0.71133432979575184</v>
      </c>
      <c r="G879" s="4">
        <f>Table1[[#This Row],[Life expectancy at birth, total (years) '[SP.DYN.LE00.IN']]]/Table1[[#This Row],[Current health expenditure per capita (current US$) '[SH.XPD.CHEX.PC.CD']]]*1000</f>
        <v>711.33432979575184</v>
      </c>
    </row>
    <row r="880" spans="1:7" x14ac:dyDescent="0.25">
      <c r="A880" s="5" t="s">
        <v>215</v>
      </c>
      <c r="B880" s="6" t="s">
        <v>92</v>
      </c>
      <c r="C880" s="5">
        <v>2021</v>
      </c>
      <c r="D880" s="7">
        <v>94.202491760000001</v>
      </c>
      <c r="E880" s="11">
        <v>61.225000000000001</v>
      </c>
      <c r="F880" s="10">
        <f>Table1[[#This Row],[Life expectancy at birth, total (years) '[SP.DYN.LE00.IN']]]/Table1[[#This Row],[Current health expenditure per capita (current US$) '[SH.XPD.CHEX.PC.CD']]]</f>
        <v>0.64992972962947881</v>
      </c>
      <c r="G880" s="4">
        <f>Table1[[#This Row],[Life expectancy at birth, total (years) '[SP.DYN.LE00.IN']]]/Table1[[#This Row],[Current health expenditure per capita (current US$) '[SH.XPD.CHEX.PC.CD']]]*1000</f>
        <v>649.92972962947886</v>
      </c>
    </row>
    <row r="881" spans="1:7" x14ac:dyDescent="0.25">
      <c r="A881" s="5" t="s">
        <v>215</v>
      </c>
      <c r="B881" s="6" t="s">
        <v>92</v>
      </c>
      <c r="C881" s="5">
        <v>2022</v>
      </c>
      <c r="D881" s="7">
        <v>91.184165949999993</v>
      </c>
      <c r="E881" s="11">
        <v>63.548999999999999</v>
      </c>
      <c r="F881" s="10">
        <f>Table1[[#This Row],[Life expectancy at birth, total (years) '[SP.DYN.LE00.IN']]]/Table1[[#This Row],[Current health expenditure per capita (current US$) '[SH.XPD.CHEX.PC.CD']]]</f>
        <v>0.69693021083119311</v>
      </c>
      <c r="G881" s="4">
        <f>Table1[[#This Row],[Life expectancy at birth, total (years) '[SP.DYN.LE00.IN']]]/Table1[[#This Row],[Current health expenditure per capita (current US$) '[SH.XPD.CHEX.PC.CD']]]*1000</f>
        <v>696.93021083119311</v>
      </c>
    </row>
    <row r="882" spans="1:7" x14ac:dyDescent="0.25">
      <c r="A882" s="5" t="s">
        <v>215</v>
      </c>
      <c r="B882" s="6" t="s">
        <v>92</v>
      </c>
      <c r="C882" s="5">
        <v>2023</v>
      </c>
      <c r="D882" s="7">
        <v>84.958991999999995</v>
      </c>
      <c r="E882" s="11">
        <v>63.646000000000001</v>
      </c>
      <c r="F882" s="10">
        <f>Table1[[#This Row],[Life expectancy at birth, total (years) '[SP.DYN.LE00.IN']]]/Table1[[#This Row],[Current health expenditure per capita (current US$) '[SH.XPD.CHEX.PC.CD']]]</f>
        <v>0.74913788995989972</v>
      </c>
      <c r="G882" s="4">
        <f>Table1[[#This Row],[Life expectancy at birth, total (years) '[SP.DYN.LE00.IN']]]/Table1[[#This Row],[Current health expenditure per capita (current US$) '[SH.XPD.CHEX.PC.CD']]]*1000</f>
        <v>749.13788995989967</v>
      </c>
    </row>
    <row r="883" spans="1:7" hidden="1" x14ac:dyDescent="0.25">
      <c r="B883" s="1"/>
      <c r="D883" s="3"/>
      <c r="E883"/>
      <c r="F883" t="e">
        <f>Table1[[#This Row],[Life expectancy at birth, total (years) '[SP.DYN.LE00.IN']]]/Table1[[#This Row],[Current health expenditure per capita (current US$) '[SH.XPD.CHEX.PC.CD']]]</f>
        <v>#DIV/0!</v>
      </c>
      <c r="G883" s="2" t="e">
        <f>Table1[[#This Row],[Life expectancy at birth, total (years) '[SP.DYN.LE00.IN']]]/Table1[[#This Row],[Current health expenditure per capita (current US$) '[SH.XPD.CHEX.PC.CD']]]*1000</f>
        <v>#DIV/0!</v>
      </c>
    </row>
    <row r="884" spans="1:7" x14ac:dyDescent="0.25">
      <c r="A884" s="5" t="s">
        <v>21</v>
      </c>
      <c r="B884" s="6" t="s">
        <v>44</v>
      </c>
      <c r="C884" s="5">
        <v>2015</v>
      </c>
      <c r="D884" s="7">
        <v>118.33458709999999</v>
      </c>
      <c r="E884" s="11">
        <v>65.831000000000003</v>
      </c>
      <c r="F884" s="10">
        <f>Table1[[#This Row],[Life expectancy at birth, total (years) '[SP.DYN.LE00.IN']]]/Table1[[#This Row],[Current health expenditure per capita (current US$) '[SH.XPD.CHEX.PC.CD']]]</f>
        <v>0.55631241561158085</v>
      </c>
      <c r="G884" s="4">
        <f>Table1[[#This Row],[Life expectancy at birth, total (years) '[SP.DYN.LE00.IN']]]/Table1[[#This Row],[Current health expenditure per capita (current US$) '[SH.XPD.CHEX.PC.CD']]]*1000</f>
        <v>556.31241561158083</v>
      </c>
    </row>
    <row r="885" spans="1:7" x14ac:dyDescent="0.25">
      <c r="A885" s="5" t="s">
        <v>21</v>
      </c>
      <c r="B885" s="6" t="s">
        <v>44</v>
      </c>
      <c r="C885" s="5">
        <v>2016</v>
      </c>
      <c r="D885" s="7">
        <v>157.72897338999999</v>
      </c>
      <c r="E885" s="11">
        <v>65.799000000000007</v>
      </c>
      <c r="F885" s="10">
        <f>Table1[[#This Row],[Life expectancy at birth, total (years) '[SP.DYN.LE00.IN']]]/Table1[[#This Row],[Current health expenditure per capita (current US$) '[SH.XPD.CHEX.PC.CD']]]</f>
        <v>0.41716495445199964</v>
      </c>
      <c r="G885" s="4">
        <f>Table1[[#This Row],[Life expectancy at birth, total (years) '[SP.DYN.LE00.IN']]]/Table1[[#This Row],[Current health expenditure per capita (current US$) '[SH.XPD.CHEX.PC.CD']]]*1000</f>
        <v>417.16495445199962</v>
      </c>
    </row>
    <row r="886" spans="1:7" x14ac:dyDescent="0.25">
      <c r="A886" s="5" t="s">
        <v>21</v>
      </c>
      <c r="B886" s="6" t="s">
        <v>44</v>
      </c>
      <c r="C886" s="5">
        <v>2017</v>
      </c>
      <c r="D886" s="7">
        <v>179.57881165000001</v>
      </c>
      <c r="E886" s="11">
        <v>65.787000000000006</v>
      </c>
      <c r="F886" s="10">
        <f>Table1[[#This Row],[Life expectancy at birth, total (years) '[SP.DYN.LE00.IN']]]/Table1[[#This Row],[Current health expenditure per capita (current US$) '[SH.XPD.CHEX.PC.CD']]]</f>
        <v>0.36634054650177322</v>
      </c>
      <c r="G886" s="4">
        <f>Table1[[#This Row],[Life expectancy at birth, total (years) '[SP.DYN.LE00.IN']]]/Table1[[#This Row],[Current health expenditure per capita (current US$) '[SH.XPD.CHEX.PC.CD']]]*1000</f>
        <v>366.34054650177325</v>
      </c>
    </row>
    <row r="887" spans="1:7" x14ac:dyDescent="0.25">
      <c r="A887" s="5" t="s">
        <v>21</v>
      </c>
      <c r="B887" s="6" t="s">
        <v>44</v>
      </c>
      <c r="C887" s="5">
        <v>2018</v>
      </c>
      <c r="D887" s="7">
        <v>208.73831177</v>
      </c>
      <c r="E887" s="11">
        <v>65.807000000000002</v>
      </c>
      <c r="F887" s="10">
        <f>Table1[[#This Row],[Life expectancy at birth, total (years) '[SP.DYN.LE00.IN']]]/Table1[[#This Row],[Current health expenditure per capita (current US$) '[SH.XPD.CHEX.PC.CD']]]</f>
        <v>0.31526076570222517</v>
      </c>
      <c r="G887" s="4">
        <f>Table1[[#This Row],[Life expectancy at birth, total (years) '[SP.DYN.LE00.IN']]]/Table1[[#This Row],[Current health expenditure per capita (current US$) '[SH.XPD.CHEX.PC.CD']]]*1000</f>
        <v>315.26076570222517</v>
      </c>
    </row>
    <row r="888" spans="1:7" x14ac:dyDescent="0.25">
      <c r="A888" s="5" t="s">
        <v>21</v>
      </c>
      <c r="B888" s="6" t="s">
        <v>44</v>
      </c>
      <c r="C888" s="5">
        <v>2019</v>
      </c>
      <c r="D888" s="7">
        <v>177.93025208</v>
      </c>
      <c r="E888" s="11">
        <v>65.866</v>
      </c>
      <c r="F888" s="10">
        <f>Table1[[#This Row],[Life expectancy at birth, total (years) '[SP.DYN.LE00.IN']]]/Table1[[#This Row],[Current health expenditure per capita (current US$) '[SH.XPD.CHEX.PC.CD']]]</f>
        <v>0.37017875954216994</v>
      </c>
      <c r="G888" s="4">
        <f>Table1[[#This Row],[Life expectancy at birth, total (years) '[SP.DYN.LE00.IN']]]/Table1[[#This Row],[Current health expenditure per capita (current US$) '[SH.XPD.CHEX.PC.CD']]]*1000</f>
        <v>370.17875954216993</v>
      </c>
    </row>
    <row r="889" spans="1:7" x14ac:dyDescent="0.25">
      <c r="A889" s="5" t="s">
        <v>21</v>
      </c>
      <c r="B889" s="6" t="s">
        <v>44</v>
      </c>
      <c r="C889" s="5">
        <v>2020</v>
      </c>
      <c r="D889" s="7">
        <v>239.24353027000001</v>
      </c>
      <c r="E889" s="11">
        <v>65.204999999999998</v>
      </c>
      <c r="F889" s="10">
        <f>Table1[[#This Row],[Life expectancy at birth, total (years) '[SP.DYN.LE00.IN']]]/Table1[[#This Row],[Current health expenditure per capita (current US$) '[SH.XPD.CHEX.PC.CD']]]</f>
        <v>0.27254655507888731</v>
      </c>
      <c r="G889" s="4">
        <f>Table1[[#This Row],[Life expectancy at birth, total (years) '[SP.DYN.LE00.IN']]]/Table1[[#This Row],[Current health expenditure per capita (current US$) '[SH.XPD.CHEX.PC.CD']]]*1000</f>
        <v>272.54655507888731</v>
      </c>
    </row>
    <row r="890" spans="1:7" x14ac:dyDescent="0.25">
      <c r="A890" s="5" t="s">
        <v>21</v>
      </c>
      <c r="B890" s="6" t="s">
        <v>44</v>
      </c>
      <c r="C890" s="5">
        <v>2021</v>
      </c>
      <c r="D890" s="7">
        <v>263.09573363999999</v>
      </c>
      <c r="E890" s="11">
        <v>64.147999999999996</v>
      </c>
      <c r="F890" s="10">
        <f>Table1[[#This Row],[Life expectancy at birth, total (years) '[SP.DYN.LE00.IN']]]/Table1[[#This Row],[Current health expenditure per capita (current US$) '[SH.XPD.CHEX.PC.CD']]]</f>
        <v>0.24381999324920714</v>
      </c>
      <c r="G890" s="4">
        <f>Table1[[#This Row],[Life expectancy at birth, total (years) '[SP.DYN.LE00.IN']]]/Table1[[#This Row],[Current health expenditure per capita (current US$) '[SH.XPD.CHEX.PC.CD']]]*1000</f>
        <v>243.81999324920713</v>
      </c>
    </row>
    <row r="891" spans="1:7" x14ac:dyDescent="0.25">
      <c r="A891" s="5" t="s">
        <v>21</v>
      </c>
      <c r="B891" s="6" t="s">
        <v>44</v>
      </c>
      <c r="C891" s="5">
        <v>2022</v>
      </c>
      <c r="D891" s="7">
        <v>217.68276978</v>
      </c>
      <c r="E891" s="11">
        <v>66.269000000000005</v>
      </c>
      <c r="F891" s="10">
        <f>Table1[[#This Row],[Life expectancy at birth, total (years) '[SP.DYN.LE00.IN']]]/Table1[[#This Row],[Current health expenditure per capita (current US$) '[SH.XPD.CHEX.PC.CD']]]</f>
        <v>0.30442923924100396</v>
      </c>
      <c r="G891" s="4">
        <f>Table1[[#This Row],[Life expectancy at birth, total (years) '[SP.DYN.LE00.IN']]]/Table1[[#This Row],[Current health expenditure per capita (current US$) '[SH.XPD.CHEX.PC.CD']]]*1000</f>
        <v>304.42923924100398</v>
      </c>
    </row>
    <row r="892" spans="1:7" x14ac:dyDescent="0.25">
      <c r="A892" s="5" t="s">
        <v>21</v>
      </c>
      <c r="B892" s="6" t="s">
        <v>44</v>
      </c>
      <c r="C892" s="5">
        <v>2023</v>
      </c>
      <c r="D892" s="7">
        <v>238.12675476000001</v>
      </c>
      <c r="E892" s="11">
        <v>66.472999999999999</v>
      </c>
      <c r="F892" s="10">
        <f>Table1[[#This Row],[Life expectancy at birth, total (years) '[SP.DYN.LE00.IN']]]/Table1[[#This Row],[Current health expenditure per capita (current US$) '[SH.XPD.CHEX.PC.CD']]]</f>
        <v>0.27914964896319994</v>
      </c>
      <c r="G892" s="4">
        <f>Table1[[#This Row],[Life expectancy at birth, total (years) '[SP.DYN.LE00.IN']]]/Table1[[#This Row],[Current health expenditure per capita (current US$) '[SH.XPD.CHEX.PC.CD']]]*1000</f>
        <v>279.14964896319992</v>
      </c>
    </row>
    <row r="893" spans="1:7" hidden="1" x14ac:dyDescent="0.25">
      <c r="B893" s="1"/>
      <c r="D893" s="3"/>
      <c r="E893"/>
      <c r="F893" t="e">
        <f>Table1[[#This Row],[Life expectancy at birth, total (years) '[SP.DYN.LE00.IN']]]/Table1[[#This Row],[Current health expenditure per capita (current US$) '[SH.XPD.CHEX.PC.CD']]]</f>
        <v>#DIV/0!</v>
      </c>
      <c r="G893" s="2" t="e">
        <f>Table1[[#This Row],[Life expectancy at birth, total (years) '[SP.DYN.LE00.IN']]]/Table1[[#This Row],[Current health expenditure per capita (current US$) '[SH.XPD.CHEX.PC.CD']]]*1000</f>
        <v>#DIV/0!</v>
      </c>
    </row>
    <row r="894" spans="1:7" x14ac:dyDescent="0.25">
      <c r="A894" s="5" t="s">
        <v>116</v>
      </c>
      <c r="B894" s="6" t="s">
        <v>266</v>
      </c>
      <c r="C894" s="5">
        <v>2015</v>
      </c>
      <c r="D894" s="7">
        <v>1950.89575195</v>
      </c>
      <c r="E894" s="11">
        <v>82.024390243902445</v>
      </c>
      <c r="F894" s="10">
        <f>Table1[[#This Row],[Life expectancy at birth, total (years) '[SP.DYN.LE00.IN']]]/Table1[[#This Row],[Current health expenditure per capita (current US$) '[SH.XPD.CHEX.PC.CD']]]</f>
        <v>4.2044476319104039E-2</v>
      </c>
      <c r="G894" s="4">
        <f>Table1[[#This Row],[Life expectancy at birth, total (years) '[SP.DYN.LE00.IN']]]/Table1[[#This Row],[Current health expenditure per capita (current US$) '[SH.XPD.CHEX.PC.CD']]]*1000</f>
        <v>42.044476319104042</v>
      </c>
    </row>
    <row r="895" spans="1:7" x14ac:dyDescent="0.25">
      <c r="A895" s="5" t="s">
        <v>116</v>
      </c>
      <c r="B895" s="6" t="s">
        <v>266</v>
      </c>
      <c r="C895" s="5">
        <v>2016</v>
      </c>
      <c r="D895" s="7">
        <v>2042.72949219</v>
      </c>
      <c r="E895" s="11">
        <v>82.27560975609758</v>
      </c>
      <c r="F895" s="10">
        <f>Table1[[#This Row],[Life expectancy at birth, total (years) '[SP.DYN.LE00.IN']]]/Table1[[#This Row],[Current health expenditure per capita (current US$) '[SH.XPD.CHEX.PC.CD']]]</f>
        <v>4.0277290786990258E-2</v>
      </c>
      <c r="G895" s="4">
        <f>Table1[[#This Row],[Life expectancy at birth, total (years) '[SP.DYN.LE00.IN']]]/Table1[[#This Row],[Current health expenditure per capita (current US$) '[SH.XPD.CHEX.PC.CD']]]*1000</f>
        <v>40.277290786990257</v>
      </c>
    </row>
    <row r="896" spans="1:7" x14ac:dyDescent="0.25">
      <c r="A896" s="5" t="s">
        <v>116</v>
      </c>
      <c r="B896" s="6" t="s">
        <v>266</v>
      </c>
      <c r="C896" s="5">
        <v>2017</v>
      </c>
      <c r="D896" s="7">
        <v>2258.1530761700001</v>
      </c>
      <c r="E896" s="11">
        <v>82.626829268292681</v>
      </c>
      <c r="F896" s="10">
        <f>Table1[[#This Row],[Life expectancy at birth, total (years) '[SP.DYN.LE00.IN']]]/Table1[[#This Row],[Current health expenditure per capita (current US$) '[SH.XPD.CHEX.PC.CD']]]</f>
        <v>3.6590446476035224E-2</v>
      </c>
      <c r="G896" s="4">
        <f>Table1[[#This Row],[Life expectancy at birth, total (years) '[SP.DYN.LE00.IN']]]/Table1[[#This Row],[Current health expenditure per capita (current US$) '[SH.XPD.CHEX.PC.CD']]]*1000</f>
        <v>36.590446476035225</v>
      </c>
    </row>
    <row r="897" spans="1:7" x14ac:dyDescent="0.25">
      <c r="A897" s="5" t="s">
        <v>116</v>
      </c>
      <c r="B897" s="6" t="s">
        <v>266</v>
      </c>
      <c r="C897" s="5">
        <v>2018</v>
      </c>
      <c r="D897" s="7">
        <v>2523.0400390599998</v>
      </c>
      <c r="E897" s="11">
        <v>82.626829268292681</v>
      </c>
      <c r="F897" s="10">
        <f>Table1[[#This Row],[Life expectancy at birth, total (years) '[SP.DYN.LE00.IN']]]/Table1[[#This Row],[Current health expenditure per capita (current US$) '[SH.XPD.CHEX.PC.CD']]]</f>
        <v>3.2748917174963532E-2</v>
      </c>
      <c r="G897" s="4">
        <f>Table1[[#This Row],[Life expectancy at birth, total (years) '[SP.DYN.LE00.IN']]]/Table1[[#This Row],[Current health expenditure per capita (current US$) '[SH.XPD.CHEX.PC.CD']]]*1000</f>
        <v>32.74891717496353</v>
      </c>
    </row>
    <row r="898" spans="1:7" x14ac:dyDescent="0.25">
      <c r="A898" s="5" t="s">
        <v>116</v>
      </c>
      <c r="B898" s="6" t="s">
        <v>266</v>
      </c>
      <c r="C898" s="5">
        <v>2019</v>
      </c>
      <c r="D898" s="7">
        <v>2602.4831543</v>
      </c>
      <c r="E898" s="11">
        <v>83.22682926829269</v>
      </c>
      <c r="F898" s="10">
        <f>Table1[[#This Row],[Life expectancy at birth, total (years) '[SP.DYN.LE00.IN']]]/Table1[[#This Row],[Current health expenditure per capita (current US$) '[SH.XPD.CHEX.PC.CD']]]</f>
        <v>3.1979776365038001E-2</v>
      </c>
      <c r="G898" s="4">
        <f>Table1[[#This Row],[Life expectancy at birth, total (years) '[SP.DYN.LE00.IN']]]/Table1[[#This Row],[Current health expenditure per capita (current US$) '[SH.XPD.CHEX.PC.CD']]]*1000</f>
        <v>31.979776365038003</v>
      </c>
    </row>
    <row r="899" spans="1:7" x14ac:dyDescent="0.25">
      <c r="A899" s="5" t="s">
        <v>116</v>
      </c>
      <c r="B899" s="6" t="s">
        <v>266</v>
      </c>
      <c r="C899" s="5">
        <v>2020</v>
      </c>
      <c r="D899" s="7">
        <v>2699.6640625</v>
      </c>
      <c r="E899" s="11">
        <v>83.426829268292693</v>
      </c>
      <c r="F899" s="10">
        <f>Table1[[#This Row],[Life expectancy at birth, total (years) '[SP.DYN.LE00.IN']]]/Table1[[#This Row],[Current health expenditure per capita (current US$) '[SH.XPD.CHEX.PC.CD']]]</f>
        <v>3.0902670605258944E-2</v>
      </c>
      <c r="G899" s="4">
        <f>Table1[[#This Row],[Life expectancy at birth, total (years) '[SP.DYN.LE00.IN']]]/Table1[[#This Row],[Current health expenditure per capita (current US$) '[SH.XPD.CHEX.PC.CD']]]*1000</f>
        <v>30.902670605258944</v>
      </c>
    </row>
    <row r="900" spans="1:7" x14ac:dyDescent="0.25">
      <c r="A900" s="5" t="s">
        <v>116</v>
      </c>
      <c r="B900" s="6" t="s">
        <v>266</v>
      </c>
      <c r="C900" s="5">
        <v>2021</v>
      </c>
      <c r="D900" s="7">
        <v>3125.8271484400002</v>
      </c>
      <c r="E900" s="11">
        <v>83.526829268292687</v>
      </c>
      <c r="F900" s="10">
        <f>Table1[[#This Row],[Life expectancy at birth, total (years) '[SP.DYN.LE00.IN']]]/Table1[[#This Row],[Current health expenditure per capita (current US$) '[SH.XPD.CHEX.PC.CD']]]</f>
        <v>2.6721512515488339E-2</v>
      </c>
      <c r="G900" s="4">
        <f>Table1[[#This Row],[Life expectancy at birth, total (years) '[SP.DYN.LE00.IN']]]/Table1[[#This Row],[Current health expenditure per capita (current US$) '[SH.XPD.CHEX.PC.CD']]]*1000</f>
        <v>26.721512515488339</v>
      </c>
    </row>
    <row r="901" spans="1:7" x14ac:dyDescent="0.25">
      <c r="A901" s="5" t="s">
        <v>116</v>
      </c>
      <c r="B901" s="6" t="s">
        <v>266</v>
      </c>
      <c r="C901" s="5">
        <v>2022</v>
      </c>
      <c r="D901" s="7">
        <v>3078.5515136700001</v>
      </c>
      <c r="E901" s="11">
        <v>82.680487804878055</v>
      </c>
      <c r="F901" s="10">
        <f>Table1[[#This Row],[Life expectancy at birth, total (years) '[SP.DYN.LE00.IN']]]/Table1[[#This Row],[Current health expenditure per capita (current US$) '[SH.XPD.CHEX.PC.CD']]]</f>
        <v>2.6856944714988076E-2</v>
      </c>
      <c r="G901" s="4">
        <f>Table1[[#This Row],[Life expectancy at birth, total (years) '[SP.DYN.LE00.IN']]]/Table1[[#This Row],[Current health expenditure per capita (current US$) '[SH.XPD.CHEX.PC.CD']]]*1000</f>
        <v>26.856944714988078</v>
      </c>
    </row>
    <row r="902" spans="1:7" x14ac:dyDescent="0.25">
      <c r="A902" s="5" t="s">
        <v>116</v>
      </c>
      <c r="B902" s="6" t="s">
        <v>266</v>
      </c>
      <c r="C902" s="5">
        <v>2023</v>
      </c>
      <c r="D902" s="7">
        <v>3043.8732910200001</v>
      </c>
      <c r="E902" s="11">
        <v>83.429268292682934</v>
      </c>
      <c r="F902" s="10">
        <f>Table1[[#This Row],[Life expectancy at birth, total (years) '[SP.DYN.LE00.IN']]]/Table1[[#This Row],[Current health expenditure per capita (current US$) '[SH.XPD.CHEX.PC.CD']]]</f>
        <v>2.7408916310286306E-2</v>
      </c>
      <c r="G902" s="4">
        <f>Table1[[#This Row],[Life expectancy at birth, total (years) '[SP.DYN.LE00.IN']]]/Table1[[#This Row],[Current health expenditure per capita (current US$) '[SH.XPD.CHEX.PC.CD']]]*1000</f>
        <v>27.408916310286305</v>
      </c>
    </row>
    <row r="903" spans="1:7" hidden="1" x14ac:dyDescent="0.25">
      <c r="B903" s="1"/>
      <c r="D903" s="3"/>
      <c r="E903"/>
      <c r="F903" t="e">
        <f>Table1[[#This Row],[Life expectancy at birth, total (years) '[SP.DYN.LE00.IN']]]/Table1[[#This Row],[Current health expenditure per capita (current US$) '[SH.XPD.CHEX.PC.CD']]]</f>
        <v>#DIV/0!</v>
      </c>
      <c r="G903" s="2" t="e">
        <f>Table1[[#This Row],[Life expectancy at birth, total (years) '[SP.DYN.LE00.IN']]]/Table1[[#This Row],[Current health expenditure per capita (current US$) '[SH.XPD.CHEX.PC.CD']]]*1000</f>
        <v>#DIV/0!</v>
      </c>
    </row>
    <row r="904" spans="1:7" x14ac:dyDescent="0.25">
      <c r="A904" s="5" t="s">
        <v>90</v>
      </c>
      <c r="B904" s="6" t="s">
        <v>173</v>
      </c>
      <c r="C904" s="5">
        <v>2015</v>
      </c>
      <c r="D904" s="7">
        <v>1259.5578613299999</v>
      </c>
      <c r="E904" s="11">
        <v>79.376560975609763</v>
      </c>
      <c r="F904" s="10">
        <f>Table1[[#This Row],[Life expectancy at birth, total (years) '[SP.DYN.LE00.IN']]]/Table1[[#This Row],[Current health expenditure per capita (current US$) '[SH.XPD.CHEX.PC.CD']]]</f>
        <v>6.3019384351103949E-2</v>
      </c>
      <c r="G904" s="4">
        <f>Table1[[#This Row],[Life expectancy at birth, total (years) '[SP.DYN.LE00.IN']]]/Table1[[#This Row],[Current health expenditure per capita (current US$) '[SH.XPD.CHEX.PC.CD']]]*1000</f>
        <v>63.019384351103952</v>
      </c>
    </row>
    <row r="905" spans="1:7" x14ac:dyDescent="0.25">
      <c r="A905" s="5" t="s">
        <v>90</v>
      </c>
      <c r="B905" s="6" t="s">
        <v>173</v>
      </c>
      <c r="C905" s="5">
        <v>2016</v>
      </c>
      <c r="D905" s="7">
        <v>1292.7198486299999</v>
      </c>
      <c r="E905" s="11">
        <v>79.677585365853673</v>
      </c>
      <c r="F905" s="10">
        <f>Table1[[#This Row],[Life expectancy at birth, total (years) '[SP.DYN.LE00.IN']]]/Table1[[#This Row],[Current health expenditure per capita (current US$) '[SH.XPD.CHEX.PC.CD']]]</f>
        <v>6.1635616912894528E-2</v>
      </c>
      <c r="G905" s="4">
        <f>Table1[[#This Row],[Life expectancy at birth, total (years) '[SP.DYN.LE00.IN']]]/Table1[[#This Row],[Current health expenditure per capita (current US$) '[SH.XPD.CHEX.PC.CD']]]*1000</f>
        <v>61.635616912894527</v>
      </c>
    </row>
    <row r="906" spans="1:7" x14ac:dyDescent="0.25">
      <c r="A906" s="5" t="s">
        <v>90</v>
      </c>
      <c r="B906" s="6" t="s">
        <v>173</v>
      </c>
      <c r="C906" s="5">
        <v>2017</v>
      </c>
      <c r="D906" s="7">
        <v>1351.72387695</v>
      </c>
      <c r="E906" s="11">
        <v>79.916073170731721</v>
      </c>
      <c r="F906" s="10">
        <f>Table1[[#This Row],[Life expectancy at birth, total (years) '[SP.DYN.LE00.IN']]]/Table1[[#This Row],[Current health expenditure per capita (current US$) '[SH.XPD.CHEX.PC.CD']]]</f>
        <v>5.9121596158420012E-2</v>
      </c>
      <c r="G906" s="4">
        <f>Table1[[#This Row],[Life expectancy at birth, total (years) '[SP.DYN.LE00.IN']]]/Table1[[#This Row],[Current health expenditure per capita (current US$) '[SH.XPD.CHEX.PC.CD']]]*1000</f>
        <v>59.121596158420012</v>
      </c>
    </row>
    <row r="907" spans="1:7" x14ac:dyDescent="0.25">
      <c r="A907" s="5" t="s">
        <v>90</v>
      </c>
      <c r="B907" s="6" t="s">
        <v>173</v>
      </c>
      <c r="C907" s="5">
        <v>2018</v>
      </c>
      <c r="D907" s="7">
        <v>1658.6037597699999</v>
      </c>
      <c r="E907" s="11">
        <v>80.106365853658545</v>
      </c>
      <c r="F907" s="10">
        <f>Table1[[#This Row],[Life expectancy at birth, total (years) '[SP.DYN.LE00.IN']]]/Table1[[#This Row],[Current health expenditure per capita (current US$) '[SH.XPD.CHEX.PC.CD']]]</f>
        <v>4.829747031609706E-2</v>
      </c>
      <c r="G907" s="4">
        <f>Table1[[#This Row],[Life expectancy at birth, total (years) '[SP.DYN.LE00.IN']]]/Table1[[#This Row],[Current health expenditure per capita (current US$) '[SH.XPD.CHEX.PC.CD']]]*1000</f>
        <v>48.297470316097062</v>
      </c>
    </row>
    <row r="908" spans="1:7" x14ac:dyDescent="0.25">
      <c r="A908" s="5" t="s">
        <v>90</v>
      </c>
      <c r="B908" s="6" t="s">
        <v>173</v>
      </c>
      <c r="C908" s="5">
        <v>2019</v>
      </c>
      <c r="D908" s="7">
        <v>1643.1649169899999</v>
      </c>
      <c r="E908" s="11">
        <v>81.969756097560989</v>
      </c>
      <c r="F908" s="10">
        <f>Table1[[#This Row],[Life expectancy at birth, total (years) '[SP.DYN.LE00.IN']]]/Table1[[#This Row],[Current health expenditure per capita (current US$) '[SH.XPD.CHEX.PC.CD']]]</f>
        <v>4.9885288597638577E-2</v>
      </c>
      <c r="G908" s="4">
        <f>Table1[[#This Row],[Life expectancy at birth, total (years) '[SP.DYN.LE00.IN']]]/Table1[[#This Row],[Current health expenditure per capita (current US$) '[SH.XPD.CHEX.PC.CD']]]*1000</f>
        <v>49.885288597638578</v>
      </c>
    </row>
    <row r="909" spans="1:7" x14ac:dyDescent="0.25">
      <c r="A909" s="5" t="s">
        <v>90</v>
      </c>
      <c r="B909" s="6" t="s">
        <v>173</v>
      </c>
      <c r="C909" s="5">
        <v>2020</v>
      </c>
      <c r="D909" s="7">
        <v>1542.72143555</v>
      </c>
      <c r="E909" s="11">
        <v>78.760975609756102</v>
      </c>
      <c r="F909" s="10">
        <f>Table1[[#This Row],[Life expectancy at birth, total (years) '[SP.DYN.LE00.IN']]]/Table1[[#This Row],[Current health expenditure per capita (current US$) '[SH.XPD.CHEX.PC.CD']]]</f>
        <v>5.1053271053874222E-2</v>
      </c>
      <c r="G909" s="4">
        <f>Table1[[#This Row],[Life expectancy at birth, total (years) '[SP.DYN.LE00.IN']]]/Table1[[#This Row],[Current health expenditure per capita (current US$) '[SH.XPD.CHEX.PC.CD']]]*1000</f>
        <v>51.053271053874219</v>
      </c>
    </row>
    <row r="910" spans="1:7" x14ac:dyDescent="0.25">
      <c r="A910" s="5" t="s">
        <v>90</v>
      </c>
      <c r="B910" s="6" t="s">
        <v>173</v>
      </c>
      <c r="C910" s="5">
        <v>2021</v>
      </c>
      <c r="D910" s="7">
        <v>1829.1313476600001</v>
      </c>
      <c r="E910" s="11">
        <v>78.736585365853671</v>
      </c>
      <c r="F910" s="10">
        <f>Table1[[#This Row],[Life expectancy at birth, total (years) '[SP.DYN.LE00.IN']]]/Table1[[#This Row],[Current health expenditure per capita (current US$) '[SH.XPD.CHEX.PC.CD']]]</f>
        <v>4.3045889223089995E-2</v>
      </c>
      <c r="G910" s="4">
        <f>Table1[[#This Row],[Life expectancy at birth, total (years) '[SP.DYN.LE00.IN']]]/Table1[[#This Row],[Current health expenditure per capita (current US$) '[SH.XPD.CHEX.PC.CD']]]*1000</f>
        <v>43.045889223089993</v>
      </c>
    </row>
    <row r="911" spans="1:7" x14ac:dyDescent="0.25">
      <c r="A911" s="5" t="s">
        <v>90</v>
      </c>
      <c r="B911" s="6" t="s">
        <v>173</v>
      </c>
      <c r="C911" s="5">
        <v>2022</v>
      </c>
      <c r="D911" s="7">
        <v>1683.3992919899999</v>
      </c>
      <c r="E911" s="11">
        <v>80.587804878048786</v>
      </c>
      <c r="F911" s="10">
        <f>Table1[[#This Row],[Life expectancy at birth, total (years) '[SP.DYN.LE00.IN']]]/Table1[[#This Row],[Current health expenditure per capita (current US$) '[SH.XPD.CHEX.PC.CD']]]</f>
        <v>4.7872067703428445E-2</v>
      </c>
      <c r="G911" s="4">
        <f>Table1[[#This Row],[Life expectancy at birth, total (years) '[SP.DYN.LE00.IN']]]/Table1[[#This Row],[Current health expenditure per capita (current US$) '[SH.XPD.CHEX.PC.CD']]]*1000</f>
        <v>47.872067703428442</v>
      </c>
    </row>
    <row r="912" spans="1:7" x14ac:dyDescent="0.25">
      <c r="A912" s="5" t="s">
        <v>90</v>
      </c>
      <c r="B912" s="6" t="s">
        <v>173</v>
      </c>
      <c r="C912" s="5">
        <v>2023</v>
      </c>
      <c r="D912" s="7">
        <v>1679.1235351600001</v>
      </c>
      <c r="E912" s="11">
        <v>83.187804878048794</v>
      </c>
      <c r="F912" s="10">
        <f>Table1[[#This Row],[Life expectancy at birth, total (years) '[SP.DYN.LE00.IN']]]/Table1[[#This Row],[Current health expenditure per capita (current US$) '[SH.XPD.CHEX.PC.CD']]]</f>
        <v>4.9542397051877428E-2</v>
      </c>
      <c r="G912" s="4">
        <f>Table1[[#This Row],[Life expectancy at birth, total (years) '[SP.DYN.LE00.IN']]]/Table1[[#This Row],[Current health expenditure per capita (current US$) '[SH.XPD.CHEX.PC.CD']]]*1000</f>
        <v>49.54239705187743</v>
      </c>
    </row>
    <row r="913" spans="1:7" hidden="1" x14ac:dyDescent="0.25">
      <c r="B913" s="1"/>
      <c r="D913" s="3"/>
      <c r="E913"/>
      <c r="F913" t="e">
        <f>Table1[[#This Row],[Life expectancy at birth, total (years) '[SP.DYN.LE00.IN']]]/Table1[[#This Row],[Current health expenditure per capita (current US$) '[SH.XPD.CHEX.PC.CD']]]</f>
        <v>#DIV/0!</v>
      </c>
      <c r="G913" s="2" t="e">
        <f>Table1[[#This Row],[Life expectancy at birth, total (years) '[SP.DYN.LE00.IN']]]/Table1[[#This Row],[Current health expenditure per capita (current US$) '[SH.XPD.CHEX.PC.CD']]]*1000</f>
        <v>#DIV/0!</v>
      </c>
    </row>
    <row r="914" spans="1:7" x14ac:dyDescent="0.25">
      <c r="A914" s="5" t="s">
        <v>314</v>
      </c>
      <c r="B914" s="6" t="s">
        <v>213</v>
      </c>
      <c r="C914" s="5">
        <v>2015</v>
      </c>
      <c r="D914" s="7">
        <v>79.548912049999998</v>
      </c>
      <c r="E914" s="11">
        <v>70.651219512195127</v>
      </c>
      <c r="F914" s="10">
        <f>Table1[[#This Row],[Life expectancy at birth, total (years) '[SP.DYN.LE00.IN']]]/Table1[[#This Row],[Current health expenditure per capita (current US$) '[SH.XPD.CHEX.PC.CD']]]</f>
        <v>0.88814815553715831</v>
      </c>
      <c r="G914" s="4">
        <f>Table1[[#This Row],[Life expectancy at birth, total (years) '[SP.DYN.LE00.IN']]]/Table1[[#This Row],[Current health expenditure per capita (current US$) '[SH.XPD.CHEX.PC.CD']]]*1000</f>
        <v>888.14815553715835</v>
      </c>
    </row>
    <row r="915" spans="1:7" x14ac:dyDescent="0.25">
      <c r="A915" s="5" t="s">
        <v>314</v>
      </c>
      <c r="B915" s="6" t="s">
        <v>213</v>
      </c>
      <c r="C915" s="5">
        <v>2016</v>
      </c>
      <c r="D915" s="7">
        <v>71.521797179999993</v>
      </c>
      <c r="E915" s="11">
        <v>70.951219512195124</v>
      </c>
      <c r="F915" s="10">
        <f>Table1[[#This Row],[Life expectancy at birth, total (years) '[SP.DYN.LE00.IN']]]/Table1[[#This Row],[Current health expenditure per capita (current US$) '[SH.XPD.CHEX.PC.CD']]]</f>
        <v>0.99202232479744756</v>
      </c>
      <c r="G915" s="4">
        <f>Table1[[#This Row],[Life expectancy at birth, total (years) '[SP.DYN.LE00.IN']]]/Table1[[#This Row],[Current health expenditure per capita (current US$) '[SH.XPD.CHEX.PC.CD']]]*1000</f>
        <v>992.0223247974476</v>
      </c>
    </row>
    <row r="916" spans="1:7" x14ac:dyDescent="0.25">
      <c r="A916" s="5" t="s">
        <v>314</v>
      </c>
      <c r="B916" s="6" t="s">
        <v>213</v>
      </c>
      <c r="C916" s="5">
        <v>2017</v>
      </c>
      <c r="D916" s="7">
        <v>76.604797360000006</v>
      </c>
      <c r="E916" s="11">
        <v>71.200000000000017</v>
      </c>
      <c r="F916" s="10">
        <f>Table1[[#This Row],[Life expectancy at birth, total (years) '[SP.DYN.LE00.IN']]]/Table1[[#This Row],[Current health expenditure per capita (current US$) '[SH.XPD.CHEX.PC.CD']]]</f>
        <v>0.92944570645359925</v>
      </c>
      <c r="G916" s="4">
        <f>Table1[[#This Row],[Life expectancy at birth, total (years) '[SP.DYN.LE00.IN']]]/Table1[[#This Row],[Current health expenditure per capita (current US$) '[SH.XPD.CHEX.PC.CD']]]*1000</f>
        <v>929.4457064535992</v>
      </c>
    </row>
    <row r="917" spans="1:7" x14ac:dyDescent="0.25">
      <c r="A917" s="5" t="s">
        <v>314</v>
      </c>
      <c r="B917" s="6" t="s">
        <v>213</v>
      </c>
      <c r="C917" s="5">
        <v>2018</v>
      </c>
      <c r="D917" s="7">
        <v>65.346252440000001</v>
      </c>
      <c r="E917" s="11">
        <v>71.400000000000006</v>
      </c>
      <c r="F917" s="10">
        <f>Table1[[#This Row],[Life expectancy at birth, total (years) '[SP.DYN.LE00.IN']]]/Table1[[#This Row],[Current health expenditure per capita (current US$) '[SH.XPD.CHEX.PC.CD']]]</f>
        <v>1.0926410824485837</v>
      </c>
      <c r="G917" s="4">
        <f>Table1[[#This Row],[Life expectancy at birth, total (years) '[SP.DYN.LE00.IN']]]/Table1[[#This Row],[Current health expenditure per capita (current US$) '[SH.XPD.CHEX.PC.CD']]]*1000</f>
        <v>1092.6410824485838</v>
      </c>
    </row>
    <row r="918" spans="1:7" x14ac:dyDescent="0.25">
      <c r="A918" s="5" t="s">
        <v>314</v>
      </c>
      <c r="B918" s="6" t="s">
        <v>213</v>
      </c>
      <c r="C918" s="5">
        <v>2019</v>
      </c>
      <c r="D918" s="7">
        <v>61.39657974</v>
      </c>
      <c r="E918" s="11">
        <v>71.600000000000009</v>
      </c>
      <c r="F918" s="10">
        <f>Table1[[#This Row],[Life expectancy at birth, total (years) '[SP.DYN.LE00.IN']]]/Table1[[#This Row],[Current health expenditure per capita (current US$) '[SH.XPD.CHEX.PC.CD']]]</f>
        <v>1.166188740532601</v>
      </c>
      <c r="G918" s="4">
        <f>Table1[[#This Row],[Life expectancy at birth, total (years) '[SP.DYN.LE00.IN']]]/Table1[[#This Row],[Current health expenditure per capita (current US$) '[SH.XPD.CHEX.PC.CD']]]*1000</f>
        <v>1166.1887405326011</v>
      </c>
    </row>
    <row r="919" spans="1:7" x14ac:dyDescent="0.25">
      <c r="A919" s="5" t="s">
        <v>314</v>
      </c>
      <c r="B919" s="6" t="s">
        <v>213</v>
      </c>
      <c r="C919" s="5">
        <v>2020</v>
      </c>
      <c r="D919" s="7">
        <v>61.25272751</v>
      </c>
      <c r="E919" s="11">
        <v>71.800000000000011</v>
      </c>
      <c r="F919" s="10">
        <f>Table1[[#This Row],[Life expectancy at birth, total (years) '[SP.DYN.LE00.IN']]]/Table1[[#This Row],[Current health expenditure per capita (current US$) '[SH.XPD.CHEX.PC.CD']]]</f>
        <v>1.1721926993092362</v>
      </c>
      <c r="G919" s="4">
        <f>Table1[[#This Row],[Life expectancy at birth, total (years) '[SP.DYN.LE00.IN']]]/Table1[[#This Row],[Current health expenditure per capita (current US$) '[SH.XPD.CHEX.PC.CD']]]*1000</f>
        <v>1172.1926993092361</v>
      </c>
    </row>
    <row r="920" spans="1:7" x14ac:dyDescent="0.25">
      <c r="A920" s="5" t="s">
        <v>314</v>
      </c>
      <c r="B920" s="6" t="s">
        <v>213</v>
      </c>
      <c r="C920" s="5">
        <v>2021</v>
      </c>
      <c r="D920" s="7">
        <v>72.587791440000004</v>
      </c>
      <c r="E920" s="11">
        <v>71.900000000000006</v>
      </c>
      <c r="F920" s="10">
        <f>Table1[[#This Row],[Life expectancy at birth, total (years) '[SP.DYN.LE00.IN']]]/Table1[[#This Row],[Current health expenditure per capita (current US$) '[SH.XPD.CHEX.PC.CD']]]</f>
        <v>0.99052469531920506</v>
      </c>
      <c r="G920" s="4">
        <f>Table1[[#This Row],[Life expectancy at birth, total (years) '[SP.DYN.LE00.IN']]]/Table1[[#This Row],[Current health expenditure per capita (current US$) '[SH.XPD.CHEX.PC.CD']]]*1000</f>
        <v>990.52469531920508</v>
      </c>
    </row>
    <row r="921" spans="1:7" x14ac:dyDescent="0.25">
      <c r="A921" s="5" t="s">
        <v>314</v>
      </c>
      <c r="B921" s="6" t="s">
        <v>213</v>
      </c>
      <c r="C921" s="5">
        <v>2022</v>
      </c>
      <c r="D921" s="7">
        <v>88.079544069999997</v>
      </c>
      <c r="E921" s="11">
        <v>72.048780487804876</v>
      </c>
      <c r="F921" s="10">
        <f>Table1[[#This Row],[Life expectancy at birth, total (years) '[SP.DYN.LE00.IN']]]/Table1[[#This Row],[Current health expenditure per capita (current US$) '[SH.XPD.CHEX.PC.CD']]]</f>
        <v>0.81799674656064414</v>
      </c>
      <c r="G921" s="4">
        <f>Table1[[#This Row],[Life expectancy at birth, total (years) '[SP.DYN.LE00.IN']]]/Table1[[#This Row],[Current health expenditure per capita (current US$) '[SH.XPD.CHEX.PC.CD']]]*1000</f>
        <v>817.99674656064417</v>
      </c>
    </row>
    <row r="922" spans="1:7" x14ac:dyDescent="0.25">
      <c r="A922" s="5" t="s">
        <v>314</v>
      </c>
      <c r="B922" s="6" t="s">
        <v>213</v>
      </c>
      <c r="C922" s="5">
        <v>2023</v>
      </c>
      <c r="D922" s="7">
        <v>96.650817869999997</v>
      </c>
      <c r="E922" s="11">
        <v>72.248780487804893</v>
      </c>
      <c r="F922" s="10">
        <f>Table1[[#This Row],[Life expectancy at birth, total (years) '[SP.DYN.LE00.IN']]]/Table1[[#This Row],[Current health expenditure per capita (current US$) '[SH.XPD.CHEX.PC.CD']]]</f>
        <v>0.74752373627073676</v>
      </c>
      <c r="G922" s="4">
        <f>Table1[[#This Row],[Life expectancy at birth, total (years) '[SP.DYN.LE00.IN']]]/Table1[[#This Row],[Current health expenditure per capita (current US$) '[SH.XPD.CHEX.PC.CD']]]*1000</f>
        <v>747.52373627073678</v>
      </c>
    </row>
    <row r="923" spans="1:7" hidden="1" x14ac:dyDescent="0.25">
      <c r="B923" s="1"/>
      <c r="D923" s="3"/>
      <c r="E923"/>
      <c r="F923" t="e">
        <f>Table1[[#This Row],[Life expectancy at birth, total (years) '[SP.DYN.LE00.IN']]]/Table1[[#This Row],[Current health expenditure per capita (current US$) '[SH.XPD.CHEX.PC.CD']]]</f>
        <v>#DIV/0!</v>
      </c>
      <c r="G923" s="2" t="e">
        <f>Table1[[#This Row],[Life expectancy at birth, total (years) '[SP.DYN.LE00.IN']]]/Table1[[#This Row],[Current health expenditure per capita (current US$) '[SH.XPD.CHEX.PC.CD']]]*1000</f>
        <v>#DIV/0!</v>
      </c>
    </row>
    <row r="924" spans="1:7" x14ac:dyDescent="0.25">
      <c r="A924" s="5" t="s">
        <v>11</v>
      </c>
      <c r="B924" s="6" t="s">
        <v>205</v>
      </c>
      <c r="C924" s="5">
        <v>2015</v>
      </c>
      <c r="D924" s="7">
        <v>52.042366029999997</v>
      </c>
      <c r="E924" s="11">
        <v>66.688000000000002</v>
      </c>
      <c r="F924" s="10">
        <f>Table1[[#This Row],[Life expectancy at birth, total (years) '[SP.DYN.LE00.IN']]]/Table1[[#This Row],[Current health expenditure per capita (current US$) '[SH.XPD.CHEX.PC.CD']]]</f>
        <v>1.2814175274344268</v>
      </c>
      <c r="G924" s="4">
        <f>Table1[[#This Row],[Life expectancy at birth, total (years) '[SP.DYN.LE00.IN']]]/Table1[[#This Row],[Current health expenditure per capita (current US$) '[SH.XPD.CHEX.PC.CD']]]*1000</f>
        <v>1281.4175274344268</v>
      </c>
    </row>
    <row r="925" spans="1:7" x14ac:dyDescent="0.25">
      <c r="A925" s="5" t="s">
        <v>11</v>
      </c>
      <c r="B925" s="6" t="s">
        <v>205</v>
      </c>
      <c r="C925" s="5">
        <v>2016</v>
      </c>
      <c r="D925" s="7">
        <v>54.376220699999998</v>
      </c>
      <c r="E925" s="11">
        <v>67.013999999999996</v>
      </c>
      <c r="F925" s="10">
        <f>Table1[[#This Row],[Life expectancy at birth, total (years) '[SP.DYN.LE00.IN']]]/Table1[[#This Row],[Current health expenditure per capita (current US$) '[SH.XPD.CHEX.PC.CD']]]</f>
        <v>1.2324137120474796</v>
      </c>
      <c r="G925" s="4">
        <f>Table1[[#This Row],[Life expectancy at birth, total (years) '[SP.DYN.LE00.IN']]]/Table1[[#This Row],[Current health expenditure per capita (current US$) '[SH.XPD.CHEX.PC.CD']]]*1000</f>
        <v>1232.4137120474795</v>
      </c>
    </row>
    <row r="926" spans="1:7" x14ac:dyDescent="0.25">
      <c r="A926" s="5" t="s">
        <v>11</v>
      </c>
      <c r="B926" s="6" t="s">
        <v>205</v>
      </c>
      <c r="C926" s="5">
        <v>2017</v>
      </c>
      <c r="D926" s="7">
        <v>61.422485350000002</v>
      </c>
      <c r="E926" s="11">
        <v>67.344999999999999</v>
      </c>
      <c r="F926" s="10">
        <f>Table1[[#This Row],[Life expectancy at birth, total (years) '[SP.DYN.LE00.IN']]]/Table1[[#This Row],[Current health expenditure per capita (current US$) '[SH.XPD.CHEX.PC.CD']]]</f>
        <v>1.0964225823206615</v>
      </c>
      <c r="G926" s="4">
        <f>Table1[[#This Row],[Life expectancy at birth, total (years) '[SP.DYN.LE00.IN']]]/Table1[[#This Row],[Current health expenditure per capita (current US$) '[SH.XPD.CHEX.PC.CD']]]*1000</f>
        <v>1096.4225823206614</v>
      </c>
    </row>
    <row r="927" spans="1:7" x14ac:dyDescent="0.25">
      <c r="A927" s="5" t="s">
        <v>11</v>
      </c>
      <c r="B927" s="6" t="s">
        <v>205</v>
      </c>
      <c r="C927" s="5">
        <v>2018</v>
      </c>
      <c r="D927" s="7">
        <v>57.170837400000003</v>
      </c>
      <c r="E927" s="11">
        <v>67.593999999999994</v>
      </c>
      <c r="F927" s="10">
        <f>Table1[[#This Row],[Life expectancy at birth, total (years) '[SP.DYN.LE00.IN']]]/Table1[[#This Row],[Current health expenditure per capita (current US$) '[SH.XPD.CHEX.PC.CD']]]</f>
        <v>1.1823160736141323</v>
      </c>
      <c r="G927" s="4">
        <f>Table1[[#This Row],[Life expectancy at birth, total (years) '[SP.DYN.LE00.IN']]]/Table1[[#This Row],[Current health expenditure per capita (current US$) '[SH.XPD.CHEX.PC.CD']]]*1000</f>
        <v>1182.3160736141322</v>
      </c>
    </row>
    <row r="928" spans="1:7" x14ac:dyDescent="0.25">
      <c r="A928" s="5" t="s">
        <v>11</v>
      </c>
      <c r="B928" s="6" t="s">
        <v>205</v>
      </c>
      <c r="C928" s="5">
        <v>2019</v>
      </c>
      <c r="D928" s="7">
        <v>67.578651429999994</v>
      </c>
      <c r="E928" s="11">
        <v>67.911000000000001</v>
      </c>
      <c r="F928" s="10">
        <f>Table1[[#This Row],[Life expectancy at birth, total (years) '[SP.DYN.LE00.IN']]]/Table1[[#This Row],[Current health expenditure per capita (current US$) '[SH.XPD.CHEX.PC.CD']]]</f>
        <v>1.0049179520894149</v>
      </c>
      <c r="G928" s="4">
        <f>Table1[[#This Row],[Life expectancy at birth, total (years) '[SP.DYN.LE00.IN']]]/Table1[[#This Row],[Current health expenditure per capita (current US$) '[SH.XPD.CHEX.PC.CD']]]*1000</f>
        <v>1004.9179520894149</v>
      </c>
    </row>
    <row r="929" spans="1:7" x14ac:dyDescent="0.25">
      <c r="A929" s="5" t="s">
        <v>11</v>
      </c>
      <c r="B929" s="6" t="s">
        <v>205</v>
      </c>
      <c r="C929" s="5">
        <v>2020</v>
      </c>
      <c r="D929" s="7">
        <v>51.965812679999999</v>
      </c>
      <c r="E929" s="11">
        <v>68.338999999999999</v>
      </c>
      <c r="F929" s="10">
        <f>Table1[[#This Row],[Life expectancy at birth, total (years) '[SP.DYN.LE00.IN']]]/Table1[[#This Row],[Current health expenditure per capita (current US$) '[SH.XPD.CHEX.PC.CD']]]</f>
        <v>1.3150761332421446</v>
      </c>
      <c r="G929" s="4">
        <f>Table1[[#This Row],[Life expectancy at birth, total (years) '[SP.DYN.LE00.IN']]]/Table1[[#This Row],[Current health expenditure per capita (current US$) '[SH.XPD.CHEX.PC.CD']]]*1000</f>
        <v>1315.0761332421446</v>
      </c>
    </row>
    <row r="930" spans="1:7" x14ac:dyDescent="0.25">
      <c r="A930" s="5" t="s">
        <v>11</v>
      </c>
      <c r="B930" s="6" t="s">
        <v>205</v>
      </c>
      <c r="C930" s="5">
        <v>2021</v>
      </c>
      <c r="D930" s="7">
        <v>68.616973880000003</v>
      </c>
      <c r="E930" s="11">
        <v>67.807000000000002</v>
      </c>
      <c r="F930" s="10">
        <f>Table1[[#This Row],[Life expectancy at birth, total (years) '[SP.DYN.LE00.IN']]]/Table1[[#This Row],[Current health expenditure per capita (current US$) '[SH.XPD.CHEX.PC.CD']]]</f>
        <v>0.9881957213470749</v>
      </c>
      <c r="G930" s="4">
        <f>Table1[[#This Row],[Life expectancy at birth, total (years) '[SP.DYN.LE00.IN']]]/Table1[[#This Row],[Current health expenditure per capita (current US$) '[SH.XPD.CHEX.PC.CD']]]*1000</f>
        <v>988.19572134707494</v>
      </c>
    </row>
    <row r="931" spans="1:7" x14ac:dyDescent="0.25">
      <c r="A931" s="5" t="s">
        <v>11</v>
      </c>
      <c r="B931" s="6" t="s">
        <v>205</v>
      </c>
      <c r="C931" s="5">
        <v>2022</v>
      </c>
      <c r="D931" s="7">
        <v>41.347797389999997</v>
      </c>
      <c r="E931" s="11">
        <v>68.715000000000003</v>
      </c>
      <c r="F931" s="10">
        <f>Table1[[#This Row],[Life expectancy at birth, total (years) '[SP.DYN.LE00.IN']]]/Table1[[#This Row],[Current health expenditure per capita (current US$) '[SH.XPD.CHEX.PC.CD']]]</f>
        <v>1.661878125015162</v>
      </c>
      <c r="G931" s="4">
        <f>Table1[[#This Row],[Life expectancy at birth, total (years) '[SP.DYN.LE00.IN']]]/Table1[[#This Row],[Current health expenditure per capita (current US$) '[SH.XPD.CHEX.PC.CD']]]*1000</f>
        <v>1661.8781250151619</v>
      </c>
    </row>
    <row r="932" spans="1:7" x14ac:dyDescent="0.25">
      <c r="A932" s="5" t="s">
        <v>11</v>
      </c>
      <c r="B932" s="6" t="s">
        <v>205</v>
      </c>
      <c r="C932" s="5">
        <v>2023</v>
      </c>
      <c r="D932" s="7">
        <v>27.417736049999998</v>
      </c>
      <c r="E932" s="11">
        <v>68.963999999999999</v>
      </c>
      <c r="F932" s="10">
        <f>Table1[[#This Row],[Life expectancy at birth, total (years) '[SP.DYN.LE00.IN']]]/Table1[[#This Row],[Current health expenditure per capita (current US$) '[SH.XPD.CHEX.PC.CD']]]</f>
        <v>2.5153061461469575</v>
      </c>
      <c r="G932" s="4">
        <f>Table1[[#This Row],[Life expectancy at birth, total (years) '[SP.DYN.LE00.IN']]]/Table1[[#This Row],[Current health expenditure per capita (current US$) '[SH.XPD.CHEX.PC.CD']]]*1000</f>
        <v>2515.3061461469574</v>
      </c>
    </row>
    <row r="933" spans="1:7" hidden="1" x14ac:dyDescent="0.25">
      <c r="B933" s="1"/>
      <c r="D933" s="3"/>
      <c r="E933"/>
      <c r="F933" t="e">
        <f>Table1[[#This Row],[Life expectancy at birth, total (years) '[SP.DYN.LE00.IN']]]/Table1[[#This Row],[Current health expenditure per capita (current US$) '[SH.XPD.CHEX.PC.CD']]]</f>
        <v>#DIV/0!</v>
      </c>
      <c r="G933" s="2" t="e">
        <f>Table1[[#This Row],[Life expectancy at birth, total (years) '[SP.DYN.LE00.IN']]]/Table1[[#This Row],[Current health expenditure per capita (current US$) '[SH.XPD.CHEX.PC.CD']]]*1000</f>
        <v>#DIV/0!</v>
      </c>
    </row>
    <row r="934" spans="1:7" x14ac:dyDescent="0.25">
      <c r="A934" s="5" t="s">
        <v>102</v>
      </c>
      <c r="B934" s="6" t="s">
        <v>93</v>
      </c>
      <c r="C934" s="5">
        <v>2015</v>
      </c>
      <c r="D934" s="7">
        <v>775.86431885000002</v>
      </c>
      <c r="E934" s="11">
        <v>74.480487804878052</v>
      </c>
      <c r="F934" s="10">
        <f>Table1[[#This Row],[Life expectancy at birth, total (years) '[SP.DYN.LE00.IN']]]/Table1[[#This Row],[Current health expenditure per capita (current US$) '[SH.XPD.CHEX.PC.CD']]]</f>
        <v>9.5996794794319662E-2</v>
      </c>
      <c r="G934" s="4">
        <f>Table1[[#This Row],[Life expectancy at birth, total (years) '[SP.DYN.LE00.IN']]]/Table1[[#This Row],[Current health expenditure per capita (current US$) '[SH.XPD.CHEX.PC.CD']]]*1000</f>
        <v>95.996794794319669</v>
      </c>
    </row>
    <row r="935" spans="1:7" x14ac:dyDescent="0.25">
      <c r="A935" s="5" t="s">
        <v>102</v>
      </c>
      <c r="B935" s="6" t="s">
        <v>93</v>
      </c>
      <c r="C935" s="5">
        <v>2016</v>
      </c>
      <c r="D935" s="7">
        <v>874.79772949000005</v>
      </c>
      <c r="E935" s="11">
        <v>74.580487804878047</v>
      </c>
      <c r="F935" s="10">
        <f>Table1[[#This Row],[Life expectancy at birth, total (years) '[SP.DYN.LE00.IN']]]/Table1[[#This Row],[Current health expenditure per capita (current US$) '[SH.XPD.CHEX.PC.CD']]]</f>
        <v>8.5254551184486799E-2</v>
      </c>
      <c r="G935" s="4">
        <f>Table1[[#This Row],[Life expectancy at birth, total (years) '[SP.DYN.LE00.IN']]]/Table1[[#This Row],[Current health expenditure per capita (current US$) '[SH.XPD.CHEX.PC.CD']]]*1000</f>
        <v>85.2545511844868</v>
      </c>
    </row>
    <row r="936" spans="1:7" x14ac:dyDescent="0.25">
      <c r="A936" s="5" t="s">
        <v>102</v>
      </c>
      <c r="B936" s="6" t="s">
        <v>93</v>
      </c>
      <c r="C936" s="5">
        <v>2017</v>
      </c>
      <c r="D936" s="7">
        <v>932.50158691000001</v>
      </c>
      <c r="E936" s="11">
        <v>74.629268292682937</v>
      </c>
      <c r="F936" s="10">
        <f>Table1[[#This Row],[Life expectancy at birth, total (years) '[SP.DYN.LE00.IN']]]/Table1[[#This Row],[Current health expenditure per capita (current US$) '[SH.XPD.CHEX.PC.CD']]]</f>
        <v>8.0031250713448646E-2</v>
      </c>
      <c r="G936" s="4">
        <f>Table1[[#This Row],[Life expectancy at birth, total (years) '[SP.DYN.LE00.IN']]]/Table1[[#This Row],[Current health expenditure per capita (current US$) '[SH.XPD.CHEX.PC.CD']]]*1000</f>
        <v>80.031250713448642</v>
      </c>
    </row>
    <row r="937" spans="1:7" x14ac:dyDescent="0.25">
      <c r="A937" s="5" t="s">
        <v>102</v>
      </c>
      <c r="B937" s="6" t="s">
        <v>93</v>
      </c>
      <c r="C937" s="5">
        <v>2018</v>
      </c>
      <c r="D937" s="7">
        <v>1101.4924316399999</v>
      </c>
      <c r="E937" s="11">
        <v>74.782926829268305</v>
      </c>
      <c r="F937" s="10">
        <f>Table1[[#This Row],[Life expectancy at birth, total (years) '[SP.DYN.LE00.IN']]]/Table1[[#This Row],[Current health expenditure per capita (current US$) '[SH.XPD.CHEX.PC.CD']]]</f>
        <v>6.789236555890342E-2</v>
      </c>
      <c r="G937" s="4">
        <f>Table1[[#This Row],[Life expectancy at birth, total (years) '[SP.DYN.LE00.IN']]]/Table1[[#This Row],[Current health expenditure per capita (current US$) '[SH.XPD.CHEX.PC.CD']]]*1000</f>
        <v>67.892365558903421</v>
      </c>
    </row>
    <row r="938" spans="1:7" x14ac:dyDescent="0.25">
      <c r="A938" s="5" t="s">
        <v>102</v>
      </c>
      <c r="B938" s="6" t="s">
        <v>93</v>
      </c>
      <c r="C938" s="5">
        <v>2019</v>
      </c>
      <c r="D938" s="7">
        <v>1183.1151123</v>
      </c>
      <c r="E938" s="11">
        <v>75.387804878048797</v>
      </c>
      <c r="F938" s="10">
        <f>Table1[[#This Row],[Life expectancy at birth, total (years) '[SP.DYN.LE00.IN']]]/Table1[[#This Row],[Current health expenditure per capita (current US$) '[SH.XPD.CHEX.PC.CD']]]</f>
        <v>6.3719754818695004E-2</v>
      </c>
      <c r="G938" s="4">
        <f>Table1[[#This Row],[Life expectancy at birth, total (years) '[SP.DYN.LE00.IN']]]/Table1[[#This Row],[Current health expenditure per capita (current US$) '[SH.XPD.CHEX.PC.CD']]]*1000</f>
        <v>63.719754818695002</v>
      </c>
    </row>
    <row r="939" spans="1:7" x14ac:dyDescent="0.25">
      <c r="A939" s="5" t="s">
        <v>102</v>
      </c>
      <c r="B939" s="6" t="s">
        <v>93</v>
      </c>
      <c r="C939" s="5">
        <v>2020</v>
      </c>
      <c r="D939" s="7">
        <v>1313.3541259799999</v>
      </c>
      <c r="E939" s="11">
        <v>75.185365853658539</v>
      </c>
      <c r="F939" s="10">
        <f>Table1[[#This Row],[Life expectancy at birth, total (years) '[SP.DYN.LE00.IN']]]/Table1[[#This Row],[Current health expenditure per capita (current US$) '[SH.XPD.CHEX.PC.CD']]]</f>
        <v>5.7246834167865156E-2</v>
      </c>
      <c r="G939" s="4">
        <f>Table1[[#This Row],[Life expectancy at birth, total (years) '[SP.DYN.LE00.IN']]]/Table1[[#This Row],[Current health expenditure per capita (current US$) '[SH.XPD.CHEX.PC.CD']]]*1000</f>
        <v>57.246834167865153</v>
      </c>
    </row>
    <row r="940" spans="1:7" x14ac:dyDescent="0.25">
      <c r="A940" s="5" t="s">
        <v>102</v>
      </c>
      <c r="B940" s="6" t="s">
        <v>93</v>
      </c>
      <c r="C940" s="5">
        <v>2021</v>
      </c>
      <c r="D940" s="7">
        <v>1897.95275879</v>
      </c>
      <c r="E940" s="11">
        <v>72.980487804878067</v>
      </c>
      <c r="F940" s="10">
        <f>Table1[[#This Row],[Life expectancy at birth, total (years) '[SP.DYN.LE00.IN']]]/Table1[[#This Row],[Current health expenditure per capita (current US$) '[SH.XPD.CHEX.PC.CD']]]</f>
        <v>3.8452215139119297E-2</v>
      </c>
      <c r="G940" s="4">
        <f>Table1[[#This Row],[Life expectancy at birth, total (years) '[SP.DYN.LE00.IN']]]/Table1[[#This Row],[Current health expenditure per capita (current US$) '[SH.XPD.CHEX.PC.CD']]]*1000</f>
        <v>38.452215139119296</v>
      </c>
    </row>
    <row r="941" spans="1:7" x14ac:dyDescent="0.25">
      <c r="A941" s="5" t="s">
        <v>102</v>
      </c>
      <c r="B941" s="6" t="s">
        <v>93</v>
      </c>
      <c r="C941" s="5">
        <v>2022</v>
      </c>
      <c r="D941" s="7">
        <v>1642.4713134799999</v>
      </c>
      <c r="E941" s="11">
        <v>74.278048780487822</v>
      </c>
      <c r="F941" s="10">
        <f>Table1[[#This Row],[Life expectancy at birth, total (years) '[SP.DYN.LE00.IN']]]/Table1[[#This Row],[Current health expenditure per capita (current US$) '[SH.XPD.CHEX.PC.CD']]]</f>
        <v>4.5223346167983035E-2</v>
      </c>
      <c r="G941" s="4">
        <f>Table1[[#This Row],[Life expectancy at birth, total (years) '[SP.DYN.LE00.IN']]]/Table1[[#This Row],[Current health expenditure per capita (current US$) '[SH.XPD.CHEX.PC.CD']]]*1000</f>
        <v>45.223346167983031</v>
      </c>
    </row>
    <row r="942" spans="1:7" x14ac:dyDescent="0.25">
      <c r="A942" s="5" t="s">
        <v>102</v>
      </c>
      <c r="B942" s="6" t="s">
        <v>93</v>
      </c>
      <c r="C942" s="5">
        <v>2023</v>
      </c>
      <c r="D942" s="7">
        <v>1645.4152832</v>
      </c>
      <c r="E942" s="11">
        <v>75.678048780487799</v>
      </c>
      <c r="F942" s="10">
        <f>Table1[[#This Row],[Life expectancy at birth, total (years) '[SP.DYN.LE00.IN']]]/Table1[[#This Row],[Current health expenditure per capita (current US$) '[SH.XPD.CHEX.PC.CD']]]</f>
        <v>4.5993281789208439E-2</v>
      </c>
      <c r="G942" s="4">
        <f>Table1[[#This Row],[Life expectancy at birth, total (years) '[SP.DYN.LE00.IN']]]/Table1[[#This Row],[Current health expenditure per capita (current US$) '[SH.XPD.CHEX.PC.CD']]]*1000</f>
        <v>45.993281789208439</v>
      </c>
    </row>
    <row r="943" spans="1:7" hidden="1" x14ac:dyDescent="0.25">
      <c r="B943" s="1"/>
      <c r="D943" s="3"/>
      <c r="E943"/>
      <c r="F943" t="e">
        <f>Table1[[#This Row],[Life expectancy at birth, total (years) '[SP.DYN.LE00.IN']]]/Table1[[#This Row],[Current health expenditure per capita (current US$) '[SH.XPD.CHEX.PC.CD']]]</f>
        <v>#DIV/0!</v>
      </c>
      <c r="G943" s="2" t="e">
        <f>Table1[[#This Row],[Life expectancy at birth, total (years) '[SP.DYN.LE00.IN']]]/Table1[[#This Row],[Current health expenditure per capita (current US$) '[SH.XPD.CHEX.PC.CD']]]*1000</f>
        <v>#DIV/0!</v>
      </c>
    </row>
    <row r="944" spans="1:7" x14ac:dyDescent="0.25">
      <c r="A944" s="5" t="s">
        <v>25</v>
      </c>
      <c r="B944" s="6" t="s">
        <v>398</v>
      </c>
      <c r="C944" s="5">
        <v>2015</v>
      </c>
      <c r="D944" s="7">
        <v>572.07220458999996</v>
      </c>
      <c r="E944" s="11">
        <v>78.275000000000006</v>
      </c>
      <c r="F944" s="10">
        <f>Table1[[#This Row],[Life expectancy at birth, total (years) '[SP.DYN.LE00.IN']]]/Table1[[#This Row],[Current health expenditure per capita (current US$) '[SH.XPD.CHEX.PC.CD']]]</f>
        <v>0.13682713365893931</v>
      </c>
      <c r="G944" s="4">
        <f>Table1[[#This Row],[Life expectancy at birth, total (years) '[SP.DYN.LE00.IN']]]/Table1[[#This Row],[Current health expenditure per capita (current US$) '[SH.XPD.CHEX.PC.CD']]]*1000</f>
        <v>136.82713365893932</v>
      </c>
    </row>
    <row r="945" spans="1:7" x14ac:dyDescent="0.25">
      <c r="A945" s="5" t="s">
        <v>25</v>
      </c>
      <c r="B945" s="6" t="s">
        <v>398</v>
      </c>
      <c r="C945" s="5">
        <v>2016</v>
      </c>
      <c r="D945" s="7">
        <v>640.96563720999995</v>
      </c>
      <c r="E945" s="11">
        <v>78.305999999999997</v>
      </c>
      <c r="F945" s="10">
        <f>Table1[[#This Row],[Life expectancy at birth, total (years) '[SP.DYN.LE00.IN']]]/Table1[[#This Row],[Current health expenditure per capita (current US$) '[SH.XPD.CHEX.PC.CD']]]</f>
        <v>0.12216879572647754</v>
      </c>
      <c r="G945" s="4">
        <f>Table1[[#This Row],[Life expectancy at birth, total (years) '[SP.DYN.LE00.IN']]]/Table1[[#This Row],[Current health expenditure per capita (current US$) '[SH.XPD.CHEX.PC.CD']]]*1000</f>
        <v>122.16879572647754</v>
      </c>
    </row>
    <row r="946" spans="1:7" x14ac:dyDescent="0.25">
      <c r="A946" s="5" t="s">
        <v>25</v>
      </c>
      <c r="B946" s="6" t="s">
        <v>398</v>
      </c>
      <c r="C946" s="5">
        <v>2017</v>
      </c>
      <c r="D946" s="7">
        <v>671.77996826000003</v>
      </c>
      <c r="E946" s="11">
        <v>78.191999999999993</v>
      </c>
      <c r="F946" s="10">
        <f>Table1[[#This Row],[Life expectancy at birth, total (years) '[SP.DYN.LE00.IN']]]/Table1[[#This Row],[Current health expenditure per capita (current US$) '[SH.XPD.CHEX.PC.CD']]]</f>
        <v>0.11639525394382885</v>
      </c>
      <c r="G946" s="4">
        <f>Table1[[#This Row],[Life expectancy at birth, total (years) '[SP.DYN.LE00.IN']]]/Table1[[#This Row],[Current health expenditure per capita (current US$) '[SH.XPD.CHEX.PC.CD']]]*1000</f>
        <v>116.39525394382885</v>
      </c>
    </row>
    <row r="947" spans="1:7" x14ac:dyDescent="0.25">
      <c r="A947" s="5" t="s">
        <v>25</v>
      </c>
      <c r="B947" s="6" t="s">
        <v>398</v>
      </c>
      <c r="C947" s="5">
        <v>2018</v>
      </c>
      <c r="D947" s="7">
        <v>740.38696288999995</v>
      </c>
      <c r="E947" s="11">
        <v>78.263000000000005</v>
      </c>
      <c r="F947" s="10">
        <f>Table1[[#This Row],[Life expectancy at birth, total (years) '[SP.DYN.LE00.IN']]]/Table1[[#This Row],[Current health expenditure per capita (current US$) '[SH.XPD.CHEX.PC.CD']]]</f>
        <v>0.10570553497391555</v>
      </c>
      <c r="G947" s="4">
        <f>Table1[[#This Row],[Life expectancy at birth, total (years) '[SP.DYN.LE00.IN']]]/Table1[[#This Row],[Current health expenditure per capita (current US$) '[SH.XPD.CHEX.PC.CD']]]*1000</f>
        <v>105.70553497391555</v>
      </c>
    </row>
    <row r="948" spans="1:7" x14ac:dyDescent="0.25">
      <c r="A948" s="5" t="s">
        <v>25</v>
      </c>
      <c r="B948" s="6" t="s">
        <v>398</v>
      </c>
      <c r="C948" s="5">
        <v>2019</v>
      </c>
      <c r="D948" s="7">
        <v>798.13421631000006</v>
      </c>
      <c r="E948" s="11">
        <v>78.207999999999998</v>
      </c>
      <c r="F948" s="10">
        <f>Table1[[#This Row],[Life expectancy at birth, total (years) '[SP.DYN.LE00.IN']]]/Table1[[#This Row],[Current health expenditure per capita (current US$) '[SH.XPD.CHEX.PC.CD']]]</f>
        <v>9.7988531755445432E-2</v>
      </c>
      <c r="G948" s="4">
        <f>Table1[[#This Row],[Life expectancy at birth, total (years) '[SP.DYN.LE00.IN']]]/Table1[[#This Row],[Current health expenditure per capita (current US$) '[SH.XPD.CHEX.PC.CD']]]*1000</f>
        <v>97.988531755445436</v>
      </c>
    </row>
    <row r="949" spans="1:7" x14ac:dyDescent="0.25">
      <c r="A949" s="5" t="s">
        <v>25</v>
      </c>
      <c r="B949" s="6" t="s">
        <v>398</v>
      </c>
      <c r="C949" s="5">
        <v>2020</v>
      </c>
      <c r="D949" s="7">
        <v>303.48632813</v>
      </c>
      <c r="E949" s="11">
        <v>76.299000000000007</v>
      </c>
      <c r="F949" s="10">
        <f>Table1[[#This Row],[Life expectancy at birth, total (years) '[SP.DYN.LE00.IN']]]/Table1[[#This Row],[Current health expenditure per capita (current US$) '[SH.XPD.CHEX.PC.CD']]]</f>
        <v>0.25140835987615534</v>
      </c>
      <c r="G949" s="4">
        <f>Table1[[#This Row],[Life expectancy at birth, total (years) '[SP.DYN.LE00.IN']]]/Table1[[#This Row],[Current health expenditure per capita (current US$) '[SH.XPD.CHEX.PC.CD']]]*1000</f>
        <v>251.40835987615534</v>
      </c>
    </row>
    <row r="950" spans="1:7" x14ac:dyDescent="0.25">
      <c r="A950" s="5" t="s">
        <v>25</v>
      </c>
      <c r="B950" s="6" t="s">
        <v>398</v>
      </c>
      <c r="C950" s="5">
        <v>2021</v>
      </c>
      <c r="D950" s="7">
        <v>189.8581543</v>
      </c>
      <c r="E950" s="11">
        <v>73.650000000000006</v>
      </c>
      <c r="F950" s="10">
        <f>Table1[[#This Row],[Life expectancy at birth, total (years) '[SP.DYN.LE00.IN']]]/Table1[[#This Row],[Current health expenditure per capita (current US$) '[SH.XPD.CHEX.PC.CD']]]</f>
        <v>0.38792118395728031</v>
      </c>
      <c r="G950" s="4">
        <f>Table1[[#This Row],[Life expectancy at birth, total (years) '[SP.DYN.LE00.IN']]]/Table1[[#This Row],[Current health expenditure per capita (current US$) '[SH.XPD.CHEX.PC.CD']]]*1000</f>
        <v>387.92118395728033</v>
      </c>
    </row>
    <row r="951" spans="1:7" x14ac:dyDescent="0.25">
      <c r="A951" s="5" t="s">
        <v>25</v>
      </c>
      <c r="B951" s="6" t="s">
        <v>398</v>
      </c>
      <c r="C951" s="5">
        <v>2022</v>
      </c>
      <c r="D951" s="7">
        <v>230.39093018</v>
      </c>
      <c r="E951" s="11">
        <v>78.003</v>
      </c>
      <c r="F951" s="10">
        <f>Table1[[#This Row],[Life expectancy at birth, total (years) '[SP.DYN.LE00.IN']]]/Table1[[#This Row],[Current health expenditure per capita (current US$) '[SH.XPD.CHEX.PC.CD']]]</f>
        <v>0.33856801541214215</v>
      </c>
      <c r="G951" s="4">
        <f>Table1[[#This Row],[Life expectancy at birth, total (years) '[SP.DYN.LE00.IN']]]/Table1[[#This Row],[Current health expenditure per capita (current US$) '[SH.XPD.CHEX.PC.CD']]]*1000</f>
        <v>338.56801541214213</v>
      </c>
    </row>
    <row r="952" spans="1:7" x14ac:dyDescent="0.25">
      <c r="A952" s="5" t="s">
        <v>25</v>
      </c>
      <c r="B952" s="6" t="s">
        <v>398</v>
      </c>
      <c r="C952" s="5">
        <v>2023</v>
      </c>
      <c r="D952" s="7">
        <v>260.81198119999999</v>
      </c>
      <c r="E952" s="11">
        <v>77.816999999999993</v>
      </c>
      <c r="F952" s="10">
        <f>Table1[[#This Row],[Life expectancy at birth, total (years) '[SP.DYN.LE00.IN']]]/Table1[[#This Row],[Current health expenditure per capita (current US$) '[SH.XPD.CHEX.PC.CD']]]</f>
        <v>0.29836436057102422</v>
      </c>
      <c r="G952" s="4">
        <f>Table1[[#This Row],[Life expectancy at birth, total (years) '[SP.DYN.LE00.IN']]]/Table1[[#This Row],[Current health expenditure per capita (current US$) '[SH.XPD.CHEX.PC.CD']]]*1000</f>
        <v>298.36436057102424</v>
      </c>
    </row>
    <row r="953" spans="1:7" hidden="1" x14ac:dyDescent="0.25">
      <c r="B953" s="1"/>
      <c r="D953" s="3"/>
      <c r="E953"/>
      <c r="F953" t="e">
        <f>Table1[[#This Row],[Life expectancy at birth, total (years) '[SP.DYN.LE00.IN']]]/Table1[[#This Row],[Current health expenditure per capita (current US$) '[SH.XPD.CHEX.PC.CD']]]</f>
        <v>#DIV/0!</v>
      </c>
      <c r="G953" s="2" t="e">
        <f>Table1[[#This Row],[Life expectancy at birth, total (years) '[SP.DYN.LE00.IN']]]/Table1[[#This Row],[Current health expenditure per capita (current US$) '[SH.XPD.CHEX.PC.CD']]]*1000</f>
        <v>#DIV/0!</v>
      </c>
    </row>
    <row r="954" spans="1:7" x14ac:dyDescent="0.25">
      <c r="A954" s="5" t="s">
        <v>347</v>
      </c>
      <c r="B954" s="6" t="s">
        <v>325</v>
      </c>
      <c r="C954" s="5">
        <v>2015</v>
      </c>
      <c r="D954" s="7">
        <v>104.59999847</v>
      </c>
      <c r="E954" s="11">
        <v>51.83</v>
      </c>
      <c r="F954" s="10">
        <f>Table1[[#This Row],[Life expectancy at birth, total (years) '[SP.DYN.LE00.IN']]]/Table1[[#This Row],[Current health expenditure per capita (current US$) '[SH.XPD.CHEX.PC.CD']]]</f>
        <v>0.49550669940846315</v>
      </c>
      <c r="G954" s="4">
        <f>Table1[[#This Row],[Life expectancy at birth, total (years) '[SP.DYN.LE00.IN']]]/Table1[[#This Row],[Current health expenditure per capita (current US$) '[SH.XPD.CHEX.PC.CD']]]*1000</f>
        <v>495.50669940846313</v>
      </c>
    </row>
    <row r="955" spans="1:7" x14ac:dyDescent="0.25">
      <c r="A955" s="5" t="s">
        <v>347</v>
      </c>
      <c r="B955" s="6" t="s">
        <v>325</v>
      </c>
      <c r="C955" s="5">
        <v>2016</v>
      </c>
      <c r="D955" s="7">
        <v>91.012718199999995</v>
      </c>
      <c r="E955" s="11">
        <v>52.908000000000001</v>
      </c>
      <c r="F955" s="10">
        <f>Table1[[#This Row],[Life expectancy at birth, total (years) '[SP.DYN.LE00.IN']]]/Table1[[#This Row],[Current health expenditure per capita (current US$) '[SH.XPD.CHEX.PC.CD']]]</f>
        <v>0.58132534712055228</v>
      </c>
      <c r="G955" s="4">
        <f>Table1[[#This Row],[Life expectancy at birth, total (years) '[SP.DYN.LE00.IN']]]/Table1[[#This Row],[Current health expenditure per capita (current US$) '[SH.XPD.CHEX.PC.CD']]]*1000</f>
        <v>581.32534712055224</v>
      </c>
    </row>
    <row r="956" spans="1:7" x14ac:dyDescent="0.25">
      <c r="A956" s="5" t="s">
        <v>347</v>
      </c>
      <c r="B956" s="6" t="s">
        <v>325</v>
      </c>
      <c r="C956" s="5">
        <v>2017</v>
      </c>
      <c r="D956" s="7">
        <v>115.43321228000001</v>
      </c>
      <c r="E956" s="11">
        <v>53.874000000000002</v>
      </c>
      <c r="F956" s="10">
        <f>Table1[[#This Row],[Life expectancy at birth, total (years) '[SP.DYN.LE00.IN']]]/Table1[[#This Row],[Current health expenditure per capita (current US$) '[SH.XPD.CHEX.PC.CD']]]</f>
        <v>0.46671143370177376</v>
      </c>
      <c r="G956" s="4">
        <f>Table1[[#This Row],[Life expectancy at birth, total (years) '[SP.DYN.LE00.IN']]]/Table1[[#This Row],[Current health expenditure per capita (current US$) '[SH.XPD.CHEX.PC.CD']]]*1000</f>
        <v>466.71143370177379</v>
      </c>
    </row>
    <row r="957" spans="1:7" x14ac:dyDescent="0.25">
      <c r="A957" s="5" t="s">
        <v>347</v>
      </c>
      <c r="B957" s="6" t="s">
        <v>325</v>
      </c>
      <c r="C957" s="5">
        <v>2018</v>
      </c>
      <c r="D957" s="7">
        <v>130.93614196999999</v>
      </c>
      <c r="E957" s="11">
        <v>54.637999999999998</v>
      </c>
      <c r="F957" s="10">
        <f>Table1[[#This Row],[Life expectancy at birth, total (years) '[SP.DYN.LE00.IN']]]/Table1[[#This Row],[Current health expenditure per capita (current US$) '[SH.XPD.CHEX.PC.CD']]]</f>
        <v>0.41728738282603917</v>
      </c>
      <c r="G957" s="4">
        <f>Table1[[#This Row],[Life expectancy at birth, total (years) '[SP.DYN.LE00.IN']]]/Table1[[#This Row],[Current health expenditure per capita (current US$) '[SH.XPD.CHEX.PC.CD']]]*1000</f>
        <v>417.28738282603916</v>
      </c>
    </row>
    <row r="958" spans="1:7" x14ac:dyDescent="0.25">
      <c r="A958" s="5" t="s">
        <v>347</v>
      </c>
      <c r="B958" s="6" t="s">
        <v>325</v>
      </c>
      <c r="C958" s="5">
        <v>2019</v>
      </c>
      <c r="D958" s="7">
        <v>235.94372559000001</v>
      </c>
      <c r="E958" s="11">
        <v>55.249000000000002</v>
      </c>
      <c r="F958" s="10">
        <f>Table1[[#This Row],[Life expectancy at birth, total (years) '[SP.DYN.LE00.IN']]]/Table1[[#This Row],[Current health expenditure per capita (current US$) '[SH.XPD.CHEX.PC.CD']]]</f>
        <v>0.23416176828540178</v>
      </c>
      <c r="G958" s="4">
        <f>Table1[[#This Row],[Life expectancy at birth, total (years) '[SP.DYN.LE00.IN']]]/Table1[[#This Row],[Current health expenditure per capita (current US$) '[SH.XPD.CHEX.PC.CD']]]*1000</f>
        <v>234.16176828540179</v>
      </c>
    </row>
    <row r="959" spans="1:7" x14ac:dyDescent="0.25">
      <c r="A959" s="5" t="s">
        <v>347</v>
      </c>
      <c r="B959" s="6" t="s">
        <v>325</v>
      </c>
      <c r="C959" s="5">
        <v>2020</v>
      </c>
      <c r="D959" s="7">
        <v>96.845367429999996</v>
      </c>
      <c r="E959" s="11">
        <v>55.133000000000003</v>
      </c>
      <c r="F959" s="10">
        <f>Table1[[#This Row],[Life expectancy at birth, total (years) '[SP.DYN.LE00.IN']]]/Table1[[#This Row],[Current health expenditure per capita (current US$) '[SH.XPD.CHEX.PC.CD']]]</f>
        <v>0.56928897543654045</v>
      </c>
      <c r="G959" s="4">
        <f>Table1[[#This Row],[Life expectancy at birth, total (years) '[SP.DYN.LE00.IN']]]/Table1[[#This Row],[Current health expenditure per capita (current US$) '[SH.XPD.CHEX.PC.CD']]]*1000</f>
        <v>569.28897543654045</v>
      </c>
    </row>
    <row r="960" spans="1:7" x14ac:dyDescent="0.25">
      <c r="A960" s="5" t="s">
        <v>347</v>
      </c>
      <c r="B960" s="6" t="s">
        <v>325</v>
      </c>
      <c r="C960" s="5">
        <v>2021</v>
      </c>
      <c r="D960" s="7">
        <v>115.81448364000001</v>
      </c>
      <c r="E960" s="11">
        <v>54.209000000000003</v>
      </c>
      <c r="F960" s="10">
        <f>Table1[[#This Row],[Life expectancy at birth, total (years) '[SP.DYN.LE00.IN']]]/Table1[[#This Row],[Current health expenditure per capita (current US$) '[SH.XPD.CHEX.PC.CD']]]</f>
        <v>0.46806753608213902</v>
      </c>
      <c r="G960" s="4">
        <f>Table1[[#This Row],[Life expectancy at birth, total (years) '[SP.DYN.LE00.IN']]]/Table1[[#This Row],[Current health expenditure per capita (current US$) '[SH.XPD.CHEX.PC.CD']]]*1000</f>
        <v>468.06753608213904</v>
      </c>
    </row>
    <row r="961" spans="1:7" x14ac:dyDescent="0.25">
      <c r="A961" s="5" t="s">
        <v>347</v>
      </c>
      <c r="B961" s="6" t="s">
        <v>325</v>
      </c>
      <c r="C961" s="5">
        <v>2022</v>
      </c>
      <c r="D961" s="7">
        <v>133.32562256</v>
      </c>
      <c r="E961" s="11">
        <v>56.811999999999998</v>
      </c>
      <c r="F961" s="10">
        <f>Table1[[#This Row],[Life expectancy at birth, total (years) '[SP.DYN.LE00.IN']]]/Table1[[#This Row],[Current health expenditure per capita (current US$) '[SH.XPD.CHEX.PC.CD']]]</f>
        <v>0.42611464255067039</v>
      </c>
      <c r="G961" s="4">
        <f>Table1[[#This Row],[Life expectancy at birth, total (years) '[SP.DYN.LE00.IN']]]/Table1[[#This Row],[Current health expenditure per capita (current US$) '[SH.XPD.CHEX.PC.CD']]]*1000</f>
        <v>426.1146425506704</v>
      </c>
    </row>
    <row r="962" spans="1:7" x14ac:dyDescent="0.25">
      <c r="A962" s="5" t="s">
        <v>347</v>
      </c>
      <c r="B962" s="6" t="s">
        <v>325</v>
      </c>
      <c r="C962" s="5">
        <v>2023</v>
      </c>
      <c r="D962" s="7">
        <v>122.63982391</v>
      </c>
      <c r="E962" s="11">
        <v>57.375</v>
      </c>
      <c r="F962" s="10">
        <f>Table1[[#This Row],[Life expectancy at birth, total (years) '[SP.DYN.LE00.IN']]]/Table1[[#This Row],[Current health expenditure per capita (current US$) '[SH.XPD.CHEX.PC.CD']]]</f>
        <v>0.46783335274604604</v>
      </c>
      <c r="G962" s="4">
        <f>Table1[[#This Row],[Life expectancy at birth, total (years) '[SP.DYN.LE00.IN']]]/Table1[[#This Row],[Current health expenditure per capita (current US$) '[SH.XPD.CHEX.PC.CD']]]*1000</f>
        <v>467.83335274604605</v>
      </c>
    </row>
    <row r="963" spans="1:7" hidden="1" x14ac:dyDescent="0.25">
      <c r="B963" s="1"/>
      <c r="D963" s="3"/>
      <c r="E963"/>
      <c r="F963" t="e">
        <f>Table1[[#This Row],[Life expectancy at birth, total (years) '[SP.DYN.LE00.IN']]]/Table1[[#This Row],[Current health expenditure per capita (current US$) '[SH.XPD.CHEX.PC.CD']]]</f>
        <v>#DIV/0!</v>
      </c>
      <c r="G963" s="2" t="e">
        <f>Table1[[#This Row],[Life expectancy at birth, total (years) '[SP.DYN.LE00.IN']]]/Table1[[#This Row],[Current health expenditure per capita (current US$) '[SH.XPD.CHEX.PC.CD']]]*1000</f>
        <v>#DIV/0!</v>
      </c>
    </row>
    <row r="964" spans="1:7" x14ac:dyDescent="0.25">
      <c r="A964" s="5" t="s">
        <v>203</v>
      </c>
      <c r="B964" s="6" t="s">
        <v>144</v>
      </c>
      <c r="C964" s="5">
        <v>2015</v>
      </c>
      <c r="D964" s="7">
        <v>68.897933960000003</v>
      </c>
      <c r="E964" s="11">
        <v>59.247999999999998</v>
      </c>
      <c r="F964" s="10">
        <f>Table1[[#This Row],[Life expectancy at birth, total (years) '[SP.DYN.LE00.IN']]]/Table1[[#This Row],[Current health expenditure per capita (current US$) '[SH.XPD.CHEX.PC.CD']]]</f>
        <v>0.85993870345078194</v>
      </c>
      <c r="G964" s="4">
        <f>Table1[[#This Row],[Life expectancy at birth, total (years) '[SP.DYN.LE00.IN']]]/Table1[[#This Row],[Current health expenditure per capita (current US$) '[SH.XPD.CHEX.PC.CD']]]*1000</f>
        <v>859.93870345078199</v>
      </c>
    </row>
    <row r="965" spans="1:7" x14ac:dyDescent="0.25">
      <c r="A965" s="5" t="s">
        <v>203</v>
      </c>
      <c r="B965" s="6" t="s">
        <v>144</v>
      </c>
      <c r="C965" s="5">
        <v>2016</v>
      </c>
      <c r="D965" s="7">
        <v>67.680160520000001</v>
      </c>
      <c r="E965" s="11">
        <v>60.482999999999997</v>
      </c>
      <c r="F965" s="10">
        <f>Table1[[#This Row],[Life expectancy at birth, total (years) '[SP.DYN.LE00.IN']]]/Table1[[#This Row],[Current health expenditure per capita (current US$) '[SH.XPD.CHEX.PC.CD']]]</f>
        <v>0.89365922798198461</v>
      </c>
      <c r="G965" s="4">
        <f>Table1[[#This Row],[Life expectancy at birth, total (years) '[SP.DYN.LE00.IN']]]/Table1[[#This Row],[Current health expenditure per capita (current US$) '[SH.XPD.CHEX.PC.CD']]]*1000</f>
        <v>893.6592279819846</v>
      </c>
    </row>
    <row r="966" spans="1:7" x14ac:dyDescent="0.25">
      <c r="A966" s="5" t="s">
        <v>203</v>
      </c>
      <c r="B966" s="6" t="s">
        <v>144</v>
      </c>
      <c r="C966" s="5">
        <v>2017</v>
      </c>
      <c r="D966" s="7">
        <v>67.878997799999993</v>
      </c>
      <c r="E966" s="11">
        <v>60.777000000000001</v>
      </c>
      <c r="F966" s="10">
        <f>Table1[[#This Row],[Life expectancy at birth, total (years) '[SP.DYN.LE00.IN']]]/Table1[[#This Row],[Current health expenditure per capita (current US$) '[SH.XPD.CHEX.PC.CD']]]</f>
        <v>0.8953726774086227</v>
      </c>
      <c r="G966" s="4">
        <f>Table1[[#This Row],[Life expectancy at birth, total (years) '[SP.DYN.LE00.IN']]]/Table1[[#This Row],[Current health expenditure per capita (current US$) '[SH.XPD.CHEX.PC.CD']]]*1000</f>
        <v>895.37267740862274</v>
      </c>
    </row>
    <row r="967" spans="1:7" x14ac:dyDescent="0.25">
      <c r="A967" s="5" t="s">
        <v>203</v>
      </c>
      <c r="B967" s="6" t="s">
        <v>144</v>
      </c>
      <c r="C967" s="5">
        <v>2018</v>
      </c>
      <c r="D967" s="7">
        <v>68.882987979999996</v>
      </c>
      <c r="E967" s="11">
        <v>60.999000000000002</v>
      </c>
      <c r="F967" s="10">
        <f>Table1[[#This Row],[Life expectancy at birth, total (years) '[SP.DYN.LE00.IN']]]/Table1[[#This Row],[Current health expenditure per capita (current US$) '[SH.XPD.CHEX.PC.CD']]]</f>
        <v>0.88554520918446378</v>
      </c>
      <c r="G967" s="4">
        <f>Table1[[#This Row],[Life expectancy at birth, total (years) '[SP.DYN.LE00.IN']]]/Table1[[#This Row],[Current health expenditure per capita (current US$) '[SH.XPD.CHEX.PC.CD']]]*1000</f>
        <v>885.54520918446383</v>
      </c>
    </row>
    <row r="968" spans="1:7" x14ac:dyDescent="0.25">
      <c r="A968" s="5" t="s">
        <v>203</v>
      </c>
      <c r="B968" s="6" t="s">
        <v>144</v>
      </c>
      <c r="C968" s="5">
        <v>2019</v>
      </c>
      <c r="D968" s="7">
        <v>51.1932373</v>
      </c>
      <c r="E968" s="11">
        <v>61.231999999999999</v>
      </c>
      <c r="F968" s="10">
        <f>Table1[[#This Row],[Life expectancy at birth, total (years) '[SP.DYN.LE00.IN']]]/Table1[[#This Row],[Current health expenditure per capita (current US$) '[SH.XPD.CHEX.PC.CD']]]</f>
        <v>1.1960954850573593</v>
      </c>
      <c r="G968" s="4">
        <f>Table1[[#This Row],[Life expectancy at birth, total (years) '[SP.DYN.LE00.IN']]]/Table1[[#This Row],[Current health expenditure per capita (current US$) '[SH.XPD.CHEX.PC.CD']]]*1000</f>
        <v>1196.0954850573594</v>
      </c>
    </row>
    <row r="969" spans="1:7" x14ac:dyDescent="0.25">
      <c r="A969" s="5" t="s">
        <v>203</v>
      </c>
      <c r="B969" s="6" t="s">
        <v>144</v>
      </c>
      <c r="C969" s="5">
        <v>2020</v>
      </c>
      <c r="D969" s="7">
        <v>76.110099790000007</v>
      </c>
      <c r="E969" s="11">
        <v>61.267000000000003</v>
      </c>
      <c r="F969" s="10">
        <f>Table1[[#This Row],[Life expectancy at birth, total (years) '[SP.DYN.LE00.IN']]]/Table1[[#This Row],[Current health expenditure per capita (current US$) '[SH.XPD.CHEX.PC.CD']]]</f>
        <v>0.80497857930873173</v>
      </c>
      <c r="G969" s="4">
        <f>Table1[[#This Row],[Life expectancy at birth, total (years) '[SP.DYN.LE00.IN']]]/Table1[[#This Row],[Current health expenditure per capita (current US$) '[SH.XPD.CHEX.PC.CD']]]*1000</f>
        <v>804.9785793087317</v>
      </c>
    </row>
    <row r="970" spans="1:7" x14ac:dyDescent="0.25">
      <c r="A970" s="5" t="s">
        <v>203</v>
      </c>
      <c r="B970" s="6" t="s">
        <v>144</v>
      </c>
      <c r="C970" s="5">
        <v>2021</v>
      </c>
      <c r="D970" s="7">
        <v>88.548675540000005</v>
      </c>
      <c r="E970" s="11">
        <v>61.165999999999997</v>
      </c>
      <c r="F970" s="10">
        <f>Table1[[#This Row],[Life expectancy at birth, total (years) '[SP.DYN.LE00.IN']]]/Table1[[#This Row],[Current health expenditure per capita (current US$) '[SH.XPD.CHEX.PC.CD']]]</f>
        <v>0.69076131999703982</v>
      </c>
      <c r="G970" s="4">
        <f>Table1[[#This Row],[Life expectancy at birth, total (years) '[SP.DYN.LE00.IN']]]/Table1[[#This Row],[Current health expenditure per capita (current US$) '[SH.XPD.CHEX.PC.CD']]]*1000</f>
        <v>690.76131999703978</v>
      </c>
    </row>
    <row r="971" spans="1:7" x14ac:dyDescent="0.25">
      <c r="A971" s="5" t="s">
        <v>203</v>
      </c>
      <c r="B971" s="6" t="s">
        <v>144</v>
      </c>
      <c r="C971" s="5">
        <v>2022</v>
      </c>
      <c r="D971" s="7">
        <v>100.49607086</v>
      </c>
      <c r="E971" s="11">
        <v>61.933999999999997</v>
      </c>
      <c r="F971" s="10">
        <f>Table1[[#This Row],[Life expectancy at birth, total (years) '[SP.DYN.LE00.IN']]]/Table1[[#This Row],[Current health expenditure per capita (current US$) '[SH.XPD.CHEX.PC.CD']]]</f>
        <v>0.61628280061097696</v>
      </c>
      <c r="G971" s="4">
        <f>Table1[[#This Row],[Life expectancy at birth, total (years) '[SP.DYN.LE00.IN']]]/Table1[[#This Row],[Current health expenditure per capita (current US$) '[SH.XPD.CHEX.PC.CD']]]*1000</f>
        <v>616.28280061097701</v>
      </c>
    </row>
    <row r="972" spans="1:7" x14ac:dyDescent="0.25">
      <c r="A972" s="5" t="s">
        <v>203</v>
      </c>
      <c r="B972" s="6" t="s">
        <v>144</v>
      </c>
      <c r="C972" s="5">
        <v>2023</v>
      </c>
      <c r="D972" s="7">
        <v>103.94123077</v>
      </c>
      <c r="E972" s="11">
        <v>62.162999999999997</v>
      </c>
      <c r="F972" s="10">
        <f>Table1[[#This Row],[Life expectancy at birth, total (years) '[SP.DYN.LE00.IN']]]/Table1[[#This Row],[Current health expenditure per capita (current US$) '[SH.XPD.CHEX.PC.CD']]]</f>
        <v>0.59805911032123138</v>
      </c>
      <c r="G972" s="4">
        <f>Table1[[#This Row],[Life expectancy at birth, total (years) '[SP.DYN.LE00.IN']]]/Table1[[#This Row],[Current health expenditure per capita (current US$) '[SH.XPD.CHEX.PC.CD']]]*1000</f>
        <v>598.0591103212314</v>
      </c>
    </row>
    <row r="973" spans="1:7" hidden="1" x14ac:dyDescent="0.25">
      <c r="B973" s="1"/>
      <c r="D973" s="3"/>
      <c r="E973"/>
      <c r="F973" t="e">
        <f>Table1[[#This Row],[Life expectancy at birth, total (years) '[SP.DYN.LE00.IN']]]/Table1[[#This Row],[Current health expenditure per capita (current US$) '[SH.XPD.CHEX.PC.CD']]]</f>
        <v>#DIV/0!</v>
      </c>
      <c r="G973" s="2" t="e">
        <f>Table1[[#This Row],[Life expectancy at birth, total (years) '[SP.DYN.LE00.IN']]]/Table1[[#This Row],[Current health expenditure per capita (current US$) '[SH.XPD.CHEX.PC.CD']]]*1000</f>
        <v>#DIV/0!</v>
      </c>
    </row>
    <row r="974" spans="1:7" x14ac:dyDescent="0.25">
      <c r="A974" s="5" t="s">
        <v>352</v>
      </c>
      <c r="B974" s="6" t="s">
        <v>176</v>
      </c>
      <c r="C974" s="5">
        <v>2015</v>
      </c>
      <c r="D974" s="7">
        <v>433.06808472</v>
      </c>
      <c r="E974" s="11">
        <v>71.644000000000005</v>
      </c>
      <c r="F974" s="10">
        <f>Table1[[#This Row],[Life expectancy at birth, total (years) '[SP.DYN.LE00.IN']]]/Table1[[#This Row],[Current health expenditure per capita (current US$) '[SH.XPD.CHEX.PC.CD']]]</f>
        <v>0.1654335715972268</v>
      </c>
      <c r="G974" s="4">
        <f>Table1[[#This Row],[Life expectancy at birth, total (years) '[SP.DYN.LE00.IN']]]/Table1[[#This Row],[Current health expenditure per capita (current US$) '[SH.XPD.CHEX.PC.CD']]]*1000</f>
        <v>165.4335715972268</v>
      </c>
    </row>
    <row r="975" spans="1:7" x14ac:dyDescent="0.25">
      <c r="A975" s="5" t="s">
        <v>352</v>
      </c>
      <c r="B975" s="6" t="s">
        <v>176</v>
      </c>
      <c r="C975" s="5">
        <v>2016</v>
      </c>
      <c r="D975" s="7">
        <v>464.47531128000003</v>
      </c>
      <c r="E975" s="11">
        <v>71.799000000000007</v>
      </c>
      <c r="F975" s="10">
        <f>Table1[[#This Row],[Life expectancy at birth, total (years) '[SP.DYN.LE00.IN']]]/Table1[[#This Row],[Current health expenditure per capita (current US$) '[SH.XPD.CHEX.PC.CD']]]</f>
        <v>0.15458087492774694</v>
      </c>
      <c r="G975" s="4">
        <f>Table1[[#This Row],[Life expectancy at birth, total (years) '[SP.DYN.LE00.IN']]]/Table1[[#This Row],[Current health expenditure per capita (current US$) '[SH.XPD.CHEX.PC.CD']]]*1000</f>
        <v>154.58087492774695</v>
      </c>
    </row>
    <row r="976" spans="1:7" x14ac:dyDescent="0.25">
      <c r="A976" s="5" t="s">
        <v>352</v>
      </c>
      <c r="B976" s="6" t="s">
        <v>176</v>
      </c>
      <c r="C976" s="5">
        <v>2017</v>
      </c>
      <c r="D976" s="7">
        <v>466.08538818</v>
      </c>
      <c r="E976" s="11">
        <v>72.721000000000004</v>
      </c>
      <c r="F976" s="10">
        <f>Table1[[#This Row],[Life expectancy at birth, total (years) '[SP.DYN.LE00.IN']]]/Table1[[#This Row],[Current health expenditure per capita (current US$) '[SH.XPD.CHEX.PC.CD']]]</f>
        <v>0.15602505859273041</v>
      </c>
      <c r="G976" s="4">
        <f>Table1[[#This Row],[Life expectancy at birth, total (years) '[SP.DYN.LE00.IN']]]/Table1[[#This Row],[Current health expenditure per capita (current US$) '[SH.XPD.CHEX.PC.CD']]]*1000</f>
        <v>156.0250585927304</v>
      </c>
    </row>
    <row r="977" spans="1:7" x14ac:dyDescent="0.25">
      <c r="A977" s="5" t="s">
        <v>352</v>
      </c>
      <c r="B977" s="6" t="s">
        <v>176</v>
      </c>
      <c r="C977" s="5">
        <v>2018</v>
      </c>
      <c r="D977" s="7">
        <v>544.88079833999996</v>
      </c>
      <c r="E977" s="11">
        <v>73.150999999999996</v>
      </c>
      <c r="F977" s="10">
        <f>Table1[[#This Row],[Life expectancy at birth, total (years) '[SP.DYN.LE00.IN']]]/Table1[[#This Row],[Current health expenditure per capita (current US$) '[SH.XPD.CHEX.PC.CD']]]</f>
        <v>0.13425138162852737</v>
      </c>
      <c r="G977" s="4">
        <f>Table1[[#This Row],[Life expectancy at birth, total (years) '[SP.DYN.LE00.IN']]]/Table1[[#This Row],[Current health expenditure per capita (current US$) '[SH.XPD.CHEX.PC.CD']]]*1000</f>
        <v>134.25138162852738</v>
      </c>
    </row>
    <row r="978" spans="1:7" x14ac:dyDescent="0.25">
      <c r="A978" s="5" t="s">
        <v>352</v>
      </c>
      <c r="B978" s="6" t="s">
        <v>176</v>
      </c>
      <c r="C978" s="5">
        <v>2019</v>
      </c>
      <c r="D978" s="7">
        <v>552.73168944999998</v>
      </c>
      <c r="E978" s="11">
        <v>72.941000000000003</v>
      </c>
      <c r="F978" s="10">
        <f>Table1[[#This Row],[Life expectancy at birth, total (years) '[SP.DYN.LE00.IN']]]/Table1[[#This Row],[Current health expenditure per capita (current US$) '[SH.XPD.CHEX.PC.CD']]]</f>
        <v>0.13196457049998439</v>
      </c>
      <c r="G978" s="4">
        <f>Table1[[#This Row],[Life expectancy at birth, total (years) '[SP.DYN.LE00.IN']]]/Table1[[#This Row],[Current health expenditure per capita (current US$) '[SH.XPD.CHEX.PC.CD']]]*1000</f>
        <v>131.9645704999844</v>
      </c>
    </row>
    <row r="979" spans="1:7" x14ac:dyDescent="0.25">
      <c r="A979" s="5" t="s">
        <v>352</v>
      </c>
      <c r="B979" s="6" t="s">
        <v>176</v>
      </c>
      <c r="C979" s="5">
        <v>2020</v>
      </c>
      <c r="D979" s="7">
        <v>472.62240601000002</v>
      </c>
      <c r="E979" s="11">
        <v>72.388000000000005</v>
      </c>
      <c r="F979" s="10">
        <f>Table1[[#This Row],[Life expectancy at birth, total (years) '[SP.DYN.LE00.IN']]]/Table1[[#This Row],[Current health expenditure per capita (current US$) '[SH.XPD.CHEX.PC.CD']]]</f>
        <v>0.15316243808904054</v>
      </c>
      <c r="G979" s="4">
        <f>Table1[[#This Row],[Life expectancy at birth, total (years) '[SP.DYN.LE00.IN']]]/Table1[[#This Row],[Current health expenditure per capita (current US$) '[SH.XPD.CHEX.PC.CD']]]*1000</f>
        <v>153.16243808904053</v>
      </c>
    </row>
    <row r="980" spans="1:7" x14ac:dyDescent="0.25">
      <c r="A980" s="5" t="s">
        <v>352</v>
      </c>
      <c r="B980" s="6" t="s">
        <v>176</v>
      </c>
      <c r="C980" s="5">
        <v>2021</v>
      </c>
      <c r="D980" s="7">
        <v>298.84338379000002</v>
      </c>
      <c r="E980" s="11">
        <v>72.061999999999998</v>
      </c>
      <c r="F980" s="10">
        <f>Table1[[#This Row],[Life expectancy at birth, total (years) '[SP.DYN.LE00.IN']]]/Table1[[#This Row],[Current health expenditure per capita (current US$) '[SH.XPD.CHEX.PC.CD']]]</f>
        <v>0.24113634066812276</v>
      </c>
      <c r="G980" s="4">
        <f>Table1[[#This Row],[Life expectancy at birth, total (years) '[SP.DYN.LE00.IN']]]/Table1[[#This Row],[Current health expenditure per capita (current US$) '[SH.XPD.CHEX.PC.CD']]]*1000</f>
        <v>241.13634066812276</v>
      </c>
    </row>
    <row r="981" spans="1:7" x14ac:dyDescent="0.25">
      <c r="A981" s="5" t="s">
        <v>352</v>
      </c>
      <c r="B981" s="6" t="s">
        <v>176</v>
      </c>
      <c r="C981" s="5">
        <v>2022</v>
      </c>
      <c r="D981" s="7">
        <v>284.0262146</v>
      </c>
      <c r="E981" s="11">
        <v>74.462000000000003</v>
      </c>
      <c r="F981" s="10">
        <f>Table1[[#This Row],[Life expectancy at birth, total (years) '[SP.DYN.LE00.IN']]]/Table1[[#This Row],[Current health expenditure per capita (current US$) '[SH.XPD.CHEX.PC.CD']]]</f>
        <v>0.26216594163629009</v>
      </c>
      <c r="G981" s="4">
        <f>Table1[[#This Row],[Life expectancy at birth, total (years) '[SP.DYN.LE00.IN']]]/Table1[[#This Row],[Current health expenditure per capita (current US$) '[SH.XPD.CHEX.PC.CD']]]*1000</f>
        <v>262.16594163629009</v>
      </c>
    </row>
    <row r="982" spans="1:7" x14ac:dyDescent="0.25">
      <c r="A982" s="5" t="s">
        <v>352</v>
      </c>
      <c r="B982" s="6" t="s">
        <v>176</v>
      </c>
      <c r="C982" s="5">
        <v>2023</v>
      </c>
      <c r="D982" s="7">
        <v>470.4034729</v>
      </c>
      <c r="E982" s="11">
        <v>69.338999999999999</v>
      </c>
      <c r="F982" s="10">
        <f>Table1[[#This Row],[Life expectancy at birth, total (years) '[SP.DYN.LE00.IN']]]/Table1[[#This Row],[Current health expenditure per capita (current US$) '[SH.XPD.CHEX.PC.CD']]]</f>
        <v>0.14740324847631456</v>
      </c>
      <c r="G982" s="4">
        <f>Table1[[#This Row],[Life expectancy at birth, total (years) '[SP.DYN.LE00.IN']]]/Table1[[#This Row],[Current health expenditure per capita (current US$) '[SH.XPD.CHEX.PC.CD']]]*1000</f>
        <v>147.40324847631456</v>
      </c>
    </row>
    <row r="983" spans="1:7" hidden="1" x14ac:dyDescent="0.25">
      <c r="B983" s="1"/>
      <c r="D983" s="3"/>
      <c r="E983"/>
      <c r="F983" t="e">
        <f>Table1[[#This Row],[Life expectancy at birth, total (years) '[SP.DYN.LE00.IN']]]/Table1[[#This Row],[Current health expenditure per capita (current US$) '[SH.XPD.CHEX.PC.CD']]]</f>
        <v>#DIV/0!</v>
      </c>
      <c r="G983" s="2" t="e">
        <f>Table1[[#This Row],[Life expectancy at birth, total (years) '[SP.DYN.LE00.IN']]]/Table1[[#This Row],[Current health expenditure per capita (current US$) '[SH.XPD.CHEX.PC.CD']]]*1000</f>
        <v>#DIV/0!</v>
      </c>
    </row>
    <row r="984" spans="1:7" x14ac:dyDescent="0.25">
      <c r="A984" s="5" t="s">
        <v>64</v>
      </c>
      <c r="B984" s="6" t="s">
        <v>26</v>
      </c>
      <c r="C984" s="5">
        <v>2015</v>
      </c>
      <c r="D984" s="7">
        <v>9639.7519531300004</v>
      </c>
      <c r="E984" s="11">
        <v>82.65609756097561</v>
      </c>
      <c r="F984" s="10">
        <f>Table1[[#This Row],[Life expectancy at birth, total (years) '[SP.DYN.LE00.IN']]]/Table1[[#This Row],[Current health expenditure per capita (current US$) '[SH.XPD.CHEX.PC.CD']]]</f>
        <v>8.5745046099591198E-3</v>
      </c>
      <c r="G984" s="4">
        <f>Table1[[#This Row],[Life expectancy at birth, total (years) '[SP.DYN.LE00.IN']]]/Table1[[#This Row],[Current health expenditure per capita (current US$) '[SH.XPD.CHEX.PC.CD']]]*1000</f>
        <v>8.5745046099591207</v>
      </c>
    </row>
    <row r="985" spans="1:7" x14ac:dyDescent="0.25">
      <c r="A985" s="5" t="s">
        <v>64</v>
      </c>
      <c r="B985" s="6" t="s">
        <v>26</v>
      </c>
      <c r="C985" s="5">
        <v>2016</v>
      </c>
      <c r="D985" s="7">
        <v>9703.7587890600007</v>
      </c>
      <c r="E985" s="11">
        <v>82.25853658536586</v>
      </c>
      <c r="F985" s="10">
        <f>Table1[[#This Row],[Life expectancy at birth, total (years) '[SP.DYN.LE00.IN']]]/Table1[[#This Row],[Current health expenditure per capita (current US$) '[SH.XPD.CHEX.PC.CD']]]</f>
        <v>8.4769766410624278E-3</v>
      </c>
      <c r="G985" s="4">
        <f>Table1[[#This Row],[Life expectancy at birth, total (years) '[SP.DYN.LE00.IN']]]/Table1[[#This Row],[Current health expenditure per capita (current US$) '[SH.XPD.CHEX.PC.CD']]]*1000</f>
        <v>8.4769766410624285</v>
      </c>
    </row>
    <row r="986" spans="1:7" x14ac:dyDescent="0.25">
      <c r="A986" s="5" t="s">
        <v>64</v>
      </c>
      <c r="B986" s="6" t="s">
        <v>26</v>
      </c>
      <c r="C986" s="5">
        <v>2017</v>
      </c>
      <c r="D986" s="7">
        <v>9715.0751953100007</v>
      </c>
      <c r="E986" s="11">
        <v>83.746341463414652</v>
      </c>
      <c r="F986" s="10">
        <f>Table1[[#This Row],[Life expectancy at birth, total (years) '[SP.DYN.LE00.IN']]]/Table1[[#This Row],[Current health expenditure per capita (current US$) '[SH.XPD.CHEX.PC.CD']]]</f>
        <v>8.6202463470219561E-3</v>
      </c>
      <c r="G986" s="4">
        <f>Table1[[#This Row],[Life expectancy at birth, total (years) '[SP.DYN.LE00.IN']]]/Table1[[#This Row],[Current health expenditure per capita (current US$) '[SH.XPD.CHEX.PC.CD']]]*1000</f>
        <v>8.6202463470219559</v>
      </c>
    </row>
    <row r="987" spans="1:7" x14ac:dyDescent="0.25">
      <c r="A987" s="5" t="s">
        <v>64</v>
      </c>
      <c r="B987" s="6" t="s">
        <v>26</v>
      </c>
      <c r="C987" s="5">
        <v>2018</v>
      </c>
      <c r="D987" s="7">
        <v>9736.2431640600007</v>
      </c>
      <c r="E987" s="11">
        <v>83.041463414634165</v>
      </c>
      <c r="F987" s="10">
        <f>Table1[[#This Row],[Life expectancy at birth, total (years) '[SP.DYN.LE00.IN']]]/Table1[[#This Row],[Current health expenditure per capita (current US$) '[SH.XPD.CHEX.PC.CD']]]</f>
        <v>8.5291073790320152E-3</v>
      </c>
      <c r="G987" s="4">
        <f>Table1[[#This Row],[Life expectancy at birth, total (years) '[SP.DYN.LE00.IN']]]/Table1[[#This Row],[Current health expenditure per capita (current US$) '[SH.XPD.CHEX.PC.CD']]]*1000</f>
        <v>8.5291073790320144</v>
      </c>
    </row>
    <row r="988" spans="1:7" x14ac:dyDescent="0.25">
      <c r="A988" s="5" t="s">
        <v>64</v>
      </c>
      <c r="B988" s="6" t="s">
        <v>26</v>
      </c>
      <c r="C988" s="5">
        <v>2019</v>
      </c>
      <c r="D988" s="7">
        <v>9686.8837890600007</v>
      </c>
      <c r="E988" s="11">
        <v>84.160975609756107</v>
      </c>
      <c r="F988" s="10">
        <f>Table1[[#This Row],[Life expectancy at birth, total (years) '[SP.DYN.LE00.IN']]]/Table1[[#This Row],[Current health expenditure per capita (current US$) '[SH.XPD.CHEX.PC.CD']]]</f>
        <v>8.6881372216733223E-3</v>
      </c>
      <c r="G988" s="4">
        <f>Table1[[#This Row],[Life expectancy at birth, total (years) '[SP.DYN.LE00.IN']]]/Table1[[#This Row],[Current health expenditure per capita (current US$) '[SH.XPD.CHEX.PC.CD']]]*1000</f>
        <v>8.6881372216733226</v>
      </c>
    </row>
    <row r="989" spans="1:7" x14ac:dyDescent="0.25">
      <c r="A989" s="5" t="s">
        <v>64</v>
      </c>
      <c r="B989" s="6" t="s">
        <v>26</v>
      </c>
      <c r="C989" s="5">
        <v>2020</v>
      </c>
      <c r="D989" s="7">
        <v>10004.528320310001</v>
      </c>
      <c r="E989" s="11">
        <v>81.658536585365866</v>
      </c>
      <c r="F989" s="10">
        <f>Table1[[#This Row],[Life expectancy at birth, total (years) '[SP.DYN.LE00.IN']]]/Table1[[#This Row],[Current health expenditure per capita (current US$) '[SH.XPD.CHEX.PC.CD']]]</f>
        <v>8.1621575721458495E-3</v>
      </c>
      <c r="G989" s="4">
        <f>Table1[[#This Row],[Life expectancy at birth, total (years) '[SP.DYN.LE00.IN']]]/Table1[[#This Row],[Current health expenditure per capita (current US$) '[SH.XPD.CHEX.PC.CD']]]*1000</f>
        <v>8.1621575721458495</v>
      </c>
    </row>
    <row r="990" spans="1:7" x14ac:dyDescent="0.25">
      <c r="A990" s="5" t="s">
        <v>64</v>
      </c>
      <c r="B990" s="6" t="s">
        <v>26</v>
      </c>
      <c r="C990" s="5">
        <v>2021</v>
      </c>
      <c r="D990" s="7">
        <v>10912.36132813</v>
      </c>
      <c r="E990" s="11">
        <v>84.402439024390247</v>
      </c>
      <c r="F990" s="10">
        <f>Table1[[#This Row],[Life expectancy at birth, total (years) '[SP.DYN.LE00.IN']]]/Table1[[#This Row],[Current health expenditure per capita (current US$) '[SH.XPD.CHEX.PC.CD']]]</f>
        <v>7.7345715089929025E-3</v>
      </c>
      <c r="G990" s="4">
        <f>Table1[[#This Row],[Life expectancy at birth, total (years) '[SP.DYN.LE00.IN']]]/Table1[[#This Row],[Current health expenditure per capita (current US$) '[SH.XPD.CHEX.PC.CD']]]*1000</f>
        <v>7.7345715089929028</v>
      </c>
    </row>
    <row r="991" spans="1:7" x14ac:dyDescent="0.25">
      <c r="A991" s="5" t="s">
        <v>64</v>
      </c>
      <c r="B991" s="6" t="s">
        <v>26</v>
      </c>
      <c r="C991" s="5">
        <v>2022</v>
      </c>
      <c r="D991" s="7">
        <v>10591.592773439999</v>
      </c>
      <c r="E991" s="11">
        <v>84.121951219512198</v>
      </c>
      <c r="F991" s="10">
        <f>Table1[[#This Row],[Life expectancy at birth, total (years) '[SP.DYN.LE00.IN']]]/Table1[[#This Row],[Current health expenditure per capita (current US$) '[SH.XPD.CHEX.PC.CD']]]</f>
        <v>7.9423324724549986E-3</v>
      </c>
      <c r="G991" s="4">
        <f>Table1[[#This Row],[Life expectancy at birth, total (years) '[SP.DYN.LE00.IN']]]/Table1[[#This Row],[Current health expenditure per capita (current US$) '[SH.XPD.CHEX.PC.CD']]]*1000</f>
        <v>7.9423324724549982</v>
      </c>
    </row>
    <row r="992" spans="1:7" x14ac:dyDescent="0.25">
      <c r="A992" s="5" t="s">
        <v>64</v>
      </c>
      <c r="B992" s="6" t="s">
        <v>26</v>
      </c>
      <c r="C992" s="5">
        <v>2023</v>
      </c>
      <c r="D992" s="7">
        <v>11494.95898438</v>
      </c>
      <c r="E992" s="11">
        <v>84.841463414634163</v>
      </c>
      <c r="F992" s="10">
        <f>Table1[[#This Row],[Life expectancy at birth, total (years) '[SP.DYN.LE00.IN']]]/Table1[[#This Row],[Current health expenditure per capita (current US$) '[SH.XPD.CHEX.PC.CD']]]</f>
        <v>7.3807539052485127E-3</v>
      </c>
      <c r="G992" s="4">
        <f>Table1[[#This Row],[Life expectancy at birth, total (years) '[SP.DYN.LE00.IN']]]/Table1[[#This Row],[Current health expenditure per capita (current US$) '[SH.XPD.CHEX.PC.CD']]]*1000</f>
        <v>7.3807539052485129</v>
      </c>
    </row>
    <row r="993" spans="1:7" hidden="1" x14ac:dyDescent="0.25">
      <c r="B993" s="1"/>
      <c r="D993" s="3"/>
      <c r="E993"/>
      <c r="F993" t="e">
        <f>Table1[[#This Row],[Life expectancy at birth, total (years) '[SP.DYN.LE00.IN']]]/Table1[[#This Row],[Current health expenditure per capita (current US$) '[SH.XPD.CHEX.PC.CD']]]</f>
        <v>#DIV/0!</v>
      </c>
      <c r="G993" s="2" t="e">
        <f>Table1[[#This Row],[Life expectancy at birth, total (years) '[SP.DYN.LE00.IN']]]/Table1[[#This Row],[Current health expenditure per capita (current US$) '[SH.XPD.CHEX.PC.CD']]]*1000</f>
        <v>#DIV/0!</v>
      </c>
    </row>
    <row r="994" spans="1:7" x14ac:dyDescent="0.25">
      <c r="A994" s="5" t="s">
        <v>328</v>
      </c>
      <c r="B994" s="6" t="s">
        <v>376</v>
      </c>
      <c r="C994" s="5">
        <v>2015</v>
      </c>
      <c r="D994" s="7">
        <v>918.50750731999995</v>
      </c>
      <c r="E994" s="11">
        <v>74.321951219512215</v>
      </c>
      <c r="F994" s="10">
        <f>Table1[[#This Row],[Life expectancy at birth, total (years) '[SP.DYN.LE00.IN']]]/Table1[[#This Row],[Current health expenditure per capita (current US$) '[SH.XPD.CHEX.PC.CD']]]</f>
        <v>8.091599755822039E-2</v>
      </c>
      <c r="G994" s="4">
        <f>Table1[[#This Row],[Life expectancy at birth, total (years) '[SP.DYN.LE00.IN']]]/Table1[[#This Row],[Current health expenditure per capita (current US$) '[SH.XPD.CHEX.PC.CD']]]*1000</f>
        <v>80.915997558220397</v>
      </c>
    </row>
    <row r="995" spans="1:7" x14ac:dyDescent="0.25">
      <c r="A995" s="5" t="s">
        <v>328</v>
      </c>
      <c r="B995" s="6" t="s">
        <v>376</v>
      </c>
      <c r="C995" s="5">
        <v>2016</v>
      </c>
      <c r="D995" s="7">
        <v>986.13311768000005</v>
      </c>
      <c r="E995" s="11">
        <v>74.670731707317074</v>
      </c>
      <c r="F995" s="10">
        <f>Table1[[#This Row],[Life expectancy at birth, total (years) '[SP.DYN.LE00.IN']]]/Table1[[#This Row],[Current health expenditure per capita (current US$) '[SH.XPD.CHEX.PC.CD']]]</f>
        <v>7.5720742330395704E-2</v>
      </c>
      <c r="G995" s="4">
        <f>Table1[[#This Row],[Life expectancy at birth, total (years) '[SP.DYN.LE00.IN']]]/Table1[[#This Row],[Current health expenditure per capita (current US$) '[SH.XPD.CHEX.PC.CD']]]*1000</f>
        <v>75.720742330395709</v>
      </c>
    </row>
    <row r="996" spans="1:7" x14ac:dyDescent="0.25">
      <c r="A996" s="5" t="s">
        <v>328</v>
      </c>
      <c r="B996" s="6" t="s">
        <v>376</v>
      </c>
      <c r="C996" s="5">
        <v>2017</v>
      </c>
      <c r="D996" s="7">
        <v>1073.95800781</v>
      </c>
      <c r="E996" s="11">
        <v>75.480487804878067</v>
      </c>
      <c r="F996" s="10">
        <f>Table1[[#This Row],[Life expectancy at birth, total (years) '[SP.DYN.LE00.IN']]]/Table1[[#This Row],[Current health expenditure per capita (current US$) '[SH.XPD.CHEX.PC.CD']]]</f>
        <v>7.028253177123453E-2</v>
      </c>
      <c r="G996" s="4">
        <f>Table1[[#This Row],[Life expectancy at birth, total (years) '[SP.DYN.LE00.IN']]]/Table1[[#This Row],[Current health expenditure per capita (current US$) '[SH.XPD.CHEX.PC.CD']]]*1000</f>
        <v>70.282531771234531</v>
      </c>
    </row>
    <row r="997" spans="1:7" x14ac:dyDescent="0.25">
      <c r="A997" s="5" t="s">
        <v>328</v>
      </c>
      <c r="B997" s="6" t="s">
        <v>376</v>
      </c>
      <c r="C997" s="5">
        <v>2018</v>
      </c>
      <c r="D997" s="7">
        <v>1241.38574219</v>
      </c>
      <c r="E997" s="11">
        <v>75.680487804878055</v>
      </c>
      <c r="F997" s="10">
        <f>Table1[[#This Row],[Life expectancy at birth, total (years) '[SP.DYN.LE00.IN']]]/Table1[[#This Row],[Current health expenditure per capita (current US$) '[SH.XPD.CHEX.PC.CD']]]</f>
        <v>6.0964521528470074E-2</v>
      </c>
      <c r="G997" s="4">
        <f>Table1[[#This Row],[Life expectancy at birth, total (years) '[SP.DYN.LE00.IN']]]/Table1[[#This Row],[Current health expenditure per capita (current US$) '[SH.XPD.CHEX.PC.CD']]]*1000</f>
        <v>60.964521528470073</v>
      </c>
    </row>
    <row r="998" spans="1:7" x14ac:dyDescent="0.25">
      <c r="A998" s="5" t="s">
        <v>328</v>
      </c>
      <c r="B998" s="6" t="s">
        <v>376</v>
      </c>
      <c r="C998" s="5">
        <v>2019</v>
      </c>
      <c r="D998" s="7">
        <v>1361.2028808600001</v>
      </c>
      <c r="E998" s="11">
        <v>76.282926829268291</v>
      </c>
      <c r="F998" s="10">
        <f>Table1[[#This Row],[Life expectancy at birth, total (years) '[SP.DYN.LE00.IN']]]/Table1[[#This Row],[Current health expenditure per capita (current US$) '[SH.XPD.CHEX.PC.CD']]]</f>
        <v>5.6040820881214405E-2</v>
      </c>
      <c r="G998" s="4">
        <f>Table1[[#This Row],[Life expectancy at birth, total (years) '[SP.DYN.LE00.IN']]]/Table1[[#This Row],[Current health expenditure per capita (current US$) '[SH.XPD.CHEX.PC.CD']]]*1000</f>
        <v>56.040820881214408</v>
      </c>
    </row>
    <row r="999" spans="1:7" x14ac:dyDescent="0.25">
      <c r="A999" s="5" t="s">
        <v>328</v>
      </c>
      <c r="B999" s="6" t="s">
        <v>376</v>
      </c>
      <c r="C999" s="5">
        <v>2020</v>
      </c>
      <c r="D999" s="7">
        <v>1511.79626465</v>
      </c>
      <c r="E999" s="11">
        <v>75.029268292682929</v>
      </c>
      <c r="F999" s="10">
        <f>Table1[[#This Row],[Life expectancy at birth, total (years) '[SP.DYN.LE00.IN']]]/Table1[[#This Row],[Current health expenditure per capita (current US$) '[SH.XPD.CHEX.PC.CD']]]</f>
        <v>4.9629219258623555E-2</v>
      </c>
      <c r="G999" s="4">
        <f>Table1[[#This Row],[Life expectancy at birth, total (years) '[SP.DYN.LE00.IN']]]/Table1[[#This Row],[Current health expenditure per capita (current US$) '[SH.XPD.CHEX.PC.CD']]]*1000</f>
        <v>49.629219258623557</v>
      </c>
    </row>
    <row r="1000" spans="1:7" x14ac:dyDescent="0.25">
      <c r="A1000" s="5" t="s">
        <v>328</v>
      </c>
      <c r="B1000" s="6" t="s">
        <v>376</v>
      </c>
      <c r="C1000" s="5">
        <v>2021</v>
      </c>
      <c r="D1000" s="7">
        <v>1844.3315429700001</v>
      </c>
      <c r="E1000" s="11">
        <v>74.036585365853668</v>
      </c>
      <c r="F1000" s="10">
        <f>Table1[[#This Row],[Life expectancy at birth, total (years) '[SP.DYN.LE00.IN']]]/Table1[[#This Row],[Current health expenditure per capita (current US$) '[SH.XPD.CHEX.PC.CD']]]</f>
        <v>4.0142774572206046E-2</v>
      </c>
      <c r="G1000" s="4">
        <f>Table1[[#This Row],[Life expectancy at birth, total (years) '[SP.DYN.LE00.IN']]]/Table1[[#This Row],[Current health expenditure per capita (current US$) '[SH.XPD.CHEX.PC.CD']]]*1000</f>
        <v>40.142774572206044</v>
      </c>
    </row>
    <row r="1001" spans="1:7" x14ac:dyDescent="0.25">
      <c r="A1001" s="5" t="s">
        <v>328</v>
      </c>
      <c r="B1001" s="6" t="s">
        <v>376</v>
      </c>
      <c r="C1001" s="5">
        <v>2022</v>
      </c>
      <c r="D1001" s="7">
        <v>1831.27734375</v>
      </c>
      <c r="E1001" s="11">
        <v>75.643902439024387</v>
      </c>
      <c r="F1001" s="10">
        <f>Table1[[#This Row],[Life expectancy at birth, total (years) '[SP.DYN.LE00.IN']]]/Table1[[#This Row],[Current health expenditure per capita (current US$) '[SH.XPD.CHEX.PC.CD']]]</f>
        <v>4.1306633698708087E-2</v>
      </c>
      <c r="G1001" s="4">
        <f>Table1[[#This Row],[Life expectancy at birth, total (years) '[SP.DYN.LE00.IN']]]/Table1[[#This Row],[Current health expenditure per capita (current US$) '[SH.XPD.CHEX.PC.CD']]]*1000</f>
        <v>41.30663369870809</v>
      </c>
    </row>
    <row r="1002" spans="1:7" x14ac:dyDescent="0.25">
      <c r="A1002" s="5" t="s">
        <v>328</v>
      </c>
      <c r="B1002" s="6" t="s">
        <v>376</v>
      </c>
      <c r="C1002" s="5">
        <v>2023</v>
      </c>
      <c r="D1002" s="7">
        <v>2044.1837158200001</v>
      </c>
      <c r="E1002" s="11">
        <v>76.987804878048777</v>
      </c>
      <c r="F1002" s="10">
        <f>Table1[[#This Row],[Life expectancy at birth, total (years) '[SP.DYN.LE00.IN']]]/Table1[[#This Row],[Current health expenditure per capita (current US$) '[SH.XPD.CHEX.PC.CD']]]</f>
        <v>3.7661881504210119E-2</v>
      </c>
      <c r="G1002" s="4">
        <f>Table1[[#This Row],[Life expectancy at birth, total (years) '[SP.DYN.LE00.IN']]]/Table1[[#This Row],[Current health expenditure per capita (current US$) '[SH.XPD.CHEX.PC.CD']]]*1000</f>
        <v>37.661881504210122</v>
      </c>
    </row>
    <row r="1003" spans="1:7" hidden="1" x14ac:dyDescent="0.25">
      <c r="B1003" s="1"/>
      <c r="D1003" s="3"/>
      <c r="E1003"/>
      <c r="F1003" t="e">
        <f>Table1[[#This Row],[Life expectancy at birth, total (years) '[SP.DYN.LE00.IN']]]/Table1[[#This Row],[Current health expenditure per capita (current US$) '[SH.XPD.CHEX.PC.CD']]]</f>
        <v>#DIV/0!</v>
      </c>
      <c r="G1003" s="2" t="e">
        <f>Table1[[#This Row],[Life expectancy at birth, total (years) '[SP.DYN.LE00.IN']]]/Table1[[#This Row],[Current health expenditure per capita (current US$) '[SH.XPD.CHEX.PC.CD']]]*1000</f>
        <v>#DIV/0!</v>
      </c>
    </row>
    <row r="1004" spans="1:7" x14ac:dyDescent="0.25">
      <c r="A1004" s="5" t="s">
        <v>167</v>
      </c>
      <c r="B1004" s="6" t="s">
        <v>326</v>
      </c>
      <c r="C1004" s="5">
        <v>2015</v>
      </c>
      <c r="D1004" s="7">
        <v>5421.9321289099998</v>
      </c>
      <c r="E1004" s="11">
        <v>82.292682926829272</v>
      </c>
      <c r="F1004" s="10">
        <f>Table1[[#This Row],[Life expectancy at birth, total (years) '[SP.DYN.LE00.IN']]]/Table1[[#This Row],[Current health expenditure per capita (current US$) '[SH.XPD.CHEX.PC.CD']]]</f>
        <v>1.5177741249847223E-2</v>
      </c>
      <c r="G1004" s="4">
        <f>Table1[[#This Row],[Life expectancy at birth, total (years) '[SP.DYN.LE00.IN']]]/Table1[[#This Row],[Current health expenditure per capita (current US$) '[SH.XPD.CHEX.PC.CD']]]*1000</f>
        <v>15.177741249847223</v>
      </c>
    </row>
    <row r="1005" spans="1:7" x14ac:dyDescent="0.25">
      <c r="A1005" s="5" t="s">
        <v>167</v>
      </c>
      <c r="B1005" s="6" t="s">
        <v>326</v>
      </c>
      <c r="C1005" s="5">
        <v>2016</v>
      </c>
      <c r="D1005" s="7">
        <v>5475.1396484400002</v>
      </c>
      <c r="E1005" s="11">
        <v>82.685365853658539</v>
      </c>
      <c r="F1005" s="10">
        <f>Table1[[#This Row],[Life expectancy at birth, total (years) '[SP.DYN.LE00.IN']]]/Table1[[#This Row],[Current health expenditure per capita (current US$) '[SH.XPD.CHEX.PC.CD']]]</f>
        <v>1.5101964728373203E-2</v>
      </c>
      <c r="G1005" s="4">
        <f>Table1[[#This Row],[Life expectancy at birth, total (years) '[SP.DYN.LE00.IN']]]/Table1[[#This Row],[Current health expenditure per capita (current US$) '[SH.XPD.CHEX.PC.CD']]]*1000</f>
        <v>15.101964728373202</v>
      </c>
    </row>
    <row r="1006" spans="1:7" x14ac:dyDescent="0.25">
      <c r="A1006" s="5" t="s">
        <v>167</v>
      </c>
      <c r="B1006" s="6" t="s">
        <v>326</v>
      </c>
      <c r="C1006" s="5">
        <v>2017</v>
      </c>
      <c r="D1006" s="7">
        <v>5713.1186523400002</v>
      </c>
      <c r="E1006" s="11">
        <v>82.095121951219525</v>
      </c>
      <c r="F1006" s="10">
        <f>Table1[[#This Row],[Life expectancy at birth, total (years) '[SP.DYN.LE00.IN']]]/Table1[[#This Row],[Current health expenditure per capita (current US$) '[SH.XPD.CHEX.PC.CD']]]</f>
        <v>1.4369581124942103E-2</v>
      </c>
      <c r="G1006" s="4">
        <f>Table1[[#This Row],[Life expectancy at birth, total (years) '[SP.DYN.LE00.IN']]]/Table1[[#This Row],[Current health expenditure per capita (current US$) '[SH.XPD.CHEX.PC.CD']]]*1000</f>
        <v>14.369581124942103</v>
      </c>
    </row>
    <row r="1007" spans="1:7" x14ac:dyDescent="0.25">
      <c r="A1007" s="5" t="s">
        <v>167</v>
      </c>
      <c r="B1007" s="6" t="s">
        <v>326</v>
      </c>
      <c r="C1007" s="5">
        <v>2018</v>
      </c>
      <c r="D1007" s="7">
        <v>6227.0839843800004</v>
      </c>
      <c r="E1007" s="11">
        <v>82.295121951219514</v>
      </c>
      <c r="F1007" s="10">
        <f>Table1[[#This Row],[Life expectancy at birth, total (years) '[SP.DYN.LE00.IN']]]/Table1[[#This Row],[Current health expenditure per capita (current US$) '[SH.XPD.CHEX.PC.CD']]]</f>
        <v>1.3215675612798601E-2</v>
      </c>
      <c r="G1007" s="4">
        <f>Table1[[#This Row],[Life expectancy at birth, total (years) '[SP.DYN.LE00.IN']]]/Table1[[#This Row],[Current health expenditure per capita (current US$) '[SH.XPD.CHEX.PC.CD']]]*1000</f>
        <v>13.215675612798602</v>
      </c>
    </row>
    <row r="1008" spans="1:7" x14ac:dyDescent="0.25">
      <c r="A1008" s="5" t="s">
        <v>167</v>
      </c>
      <c r="B1008" s="6" t="s">
        <v>326</v>
      </c>
      <c r="C1008" s="5">
        <v>2019</v>
      </c>
      <c r="D1008" s="7">
        <v>6221.7387695300004</v>
      </c>
      <c r="E1008" s="11">
        <v>82.639024390243918</v>
      </c>
      <c r="F1008" s="10">
        <f>Table1[[#This Row],[Life expectancy at birth, total (years) '[SP.DYN.LE00.IN']]]/Table1[[#This Row],[Current health expenditure per capita (current US$) '[SH.XPD.CHEX.PC.CD']]]</f>
        <v>1.328230378217673E-2</v>
      </c>
      <c r="G1008" s="4">
        <f>Table1[[#This Row],[Life expectancy at birth, total (years) '[SP.DYN.LE00.IN']]]/Table1[[#This Row],[Current health expenditure per capita (current US$) '[SH.XPD.CHEX.PC.CD']]]*1000</f>
        <v>13.282303782176729</v>
      </c>
    </row>
    <row r="1009" spans="1:7" x14ac:dyDescent="0.25">
      <c r="A1009" s="5" t="s">
        <v>167</v>
      </c>
      <c r="B1009" s="6" t="s">
        <v>326</v>
      </c>
      <c r="C1009" s="5">
        <v>2020</v>
      </c>
      <c r="D1009" s="7">
        <v>6785.8623046900002</v>
      </c>
      <c r="E1009" s="11">
        <v>82.143902439024401</v>
      </c>
      <c r="F1009" s="10">
        <f>Table1[[#This Row],[Life expectancy at birth, total (years) '[SP.DYN.LE00.IN']]]/Table1[[#This Row],[Current health expenditure per capita (current US$) '[SH.XPD.CHEX.PC.CD']]]</f>
        <v>1.2105153147928044E-2</v>
      </c>
      <c r="G1009" s="4">
        <f>Table1[[#This Row],[Life expectancy at birth, total (years) '[SP.DYN.LE00.IN']]]/Table1[[#This Row],[Current health expenditure per capita (current US$) '[SH.XPD.CHEX.PC.CD']]]*1000</f>
        <v>12.105153147928043</v>
      </c>
    </row>
    <row r="1010" spans="1:7" x14ac:dyDescent="0.25">
      <c r="A1010" s="5" t="s">
        <v>167</v>
      </c>
      <c r="B1010" s="6" t="s">
        <v>326</v>
      </c>
      <c r="C1010" s="5">
        <v>2021</v>
      </c>
      <c r="D1010" s="7">
        <v>7632.5727539099998</v>
      </c>
      <c r="E1010" s="11">
        <v>82.597560975609753</v>
      </c>
      <c r="F1010" s="10">
        <f>Table1[[#This Row],[Life expectancy at birth, total (years) '[SP.DYN.LE00.IN']]]/Table1[[#This Row],[Current health expenditure per capita (current US$) '[SH.XPD.CHEX.PC.CD']]]</f>
        <v>1.0821719443590869E-2</v>
      </c>
      <c r="G1010" s="4">
        <f>Table1[[#This Row],[Life expectancy at birth, total (years) '[SP.DYN.LE00.IN']]]/Table1[[#This Row],[Current health expenditure per capita (current US$) '[SH.XPD.CHEX.PC.CD']]]*1000</f>
        <v>10.821719443590869</v>
      </c>
    </row>
    <row r="1011" spans="1:7" x14ac:dyDescent="0.25">
      <c r="A1011" s="5" t="s">
        <v>167</v>
      </c>
      <c r="B1011" s="6" t="s">
        <v>326</v>
      </c>
      <c r="C1011" s="5">
        <v>2022</v>
      </c>
      <c r="D1011" s="7">
        <v>7022.6269531300004</v>
      </c>
      <c r="E1011" s="11">
        <v>82.946341463414655</v>
      </c>
      <c r="F1011" s="10">
        <f>Table1[[#This Row],[Life expectancy at birth, total (years) '[SP.DYN.LE00.IN']]]/Table1[[#This Row],[Current health expenditure per capita (current US$) '[SH.XPD.CHEX.PC.CD']]]</f>
        <v>1.1811298253062593E-2</v>
      </c>
      <c r="G1011" s="4">
        <f>Table1[[#This Row],[Life expectancy at birth, total (years) '[SP.DYN.LE00.IN']]]/Table1[[#This Row],[Current health expenditure per capita (current US$) '[SH.XPD.CHEX.PC.CD']]]*1000</f>
        <v>11.811298253062594</v>
      </c>
    </row>
    <row r="1012" spans="1:7" x14ac:dyDescent="0.25">
      <c r="A1012" s="5" t="s">
        <v>167</v>
      </c>
      <c r="B1012" s="6" t="s">
        <v>326</v>
      </c>
      <c r="C1012" s="5">
        <v>2023</v>
      </c>
      <c r="D1012" s="7">
        <v>7510.9941406300004</v>
      </c>
      <c r="E1012" s="11">
        <v>83.358536585365854</v>
      </c>
      <c r="F1012" s="10">
        <f>Table1[[#This Row],[Life expectancy at birth, total (years) '[SP.DYN.LE00.IN']]]/Table1[[#This Row],[Current health expenditure per capita (current US$) '[SH.XPD.CHEX.PC.CD']]]</f>
        <v>1.1098202850997562E-2</v>
      </c>
      <c r="G1012" s="4">
        <f>Table1[[#This Row],[Life expectancy at birth, total (years) '[SP.DYN.LE00.IN']]]/Table1[[#This Row],[Current health expenditure per capita (current US$) '[SH.XPD.CHEX.PC.CD']]]*1000</f>
        <v>11.098202850997563</v>
      </c>
    </row>
    <row r="1013" spans="1:7" hidden="1" x14ac:dyDescent="0.25">
      <c r="B1013" s="1"/>
      <c r="D1013" s="3"/>
      <c r="E1013"/>
      <c r="F1013" t="e">
        <f>Table1[[#This Row],[Life expectancy at birth, total (years) '[SP.DYN.LE00.IN']]]/Table1[[#This Row],[Current health expenditure per capita (current US$) '[SH.XPD.CHEX.PC.CD']]]</f>
        <v>#DIV/0!</v>
      </c>
      <c r="G1013" s="2" t="e">
        <f>Table1[[#This Row],[Life expectancy at birth, total (years) '[SP.DYN.LE00.IN']]]/Table1[[#This Row],[Current health expenditure per capita (current US$) '[SH.XPD.CHEX.PC.CD']]]*1000</f>
        <v>#DIV/0!</v>
      </c>
    </row>
    <row r="1014" spans="1:7" x14ac:dyDescent="0.25">
      <c r="A1014" s="5" t="s">
        <v>394</v>
      </c>
      <c r="B1014" s="6" t="s">
        <v>100</v>
      </c>
      <c r="C1014" s="5">
        <v>2015</v>
      </c>
      <c r="D1014" s="7">
        <v>22.29386139</v>
      </c>
      <c r="E1014" s="11">
        <v>63.362000000000002</v>
      </c>
      <c r="F1014" s="10">
        <f>Table1[[#This Row],[Life expectancy at birth, total (years) '[SP.DYN.LE00.IN']]]/Table1[[#This Row],[Current health expenditure per capita (current US$) '[SH.XPD.CHEX.PC.CD']]]</f>
        <v>2.8421276553025163</v>
      </c>
      <c r="G1014" s="4">
        <f>Table1[[#This Row],[Life expectancy at birth, total (years) '[SP.DYN.LE00.IN']]]/Table1[[#This Row],[Current health expenditure per capita (current US$) '[SH.XPD.CHEX.PC.CD']]]*1000</f>
        <v>2842.1276553025164</v>
      </c>
    </row>
    <row r="1015" spans="1:7" x14ac:dyDescent="0.25">
      <c r="A1015" s="5" t="s">
        <v>394</v>
      </c>
      <c r="B1015" s="6" t="s">
        <v>100</v>
      </c>
      <c r="C1015" s="5">
        <v>2016</v>
      </c>
      <c r="D1015" s="7">
        <v>24.207939150000001</v>
      </c>
      <c r="E1015" s="11">
        <v>63.430999999999997</v>
      </c>
      <c r="F1015" s="10">
        <f>Table1[[#This Row],[Life expectancy at birth, total (years) '[SP.DYN.LE00.IN']]]/Table1[[#This Row],[Current health expenditure per capita (current US$) '[SH.XPD.CHEX.PC.CD']]]</f>
        <v>2.6202560906552836</v>
      </c>
      <c r="G1015" s="4">
        <f>Table1[[#This Row],[Life expectancy at birth, total (years) '[SP.DYN.LE00.IN']]]/Table1[[#This Row],[Current health expenditure per capita (current US$) '[SH.XPD.CHEX.PC.CD']]]*1000</f>
        <v>2620.2560906552835</v>
      </c>
    </row>
    <row r="1016" spans="1:7" x14ac:dyDescent="0.25">
      <c r="A1016" s="5" t="s">
        <v>394</v>
      </c>
      <c r="B1016" s="6" t="s">
        <v>100</v>
      </c>
      <c r="C1016" s="5">
        <v>2017</v>
      </c>
      <c r="D1016" s="7">
        <v>23.62072182</v>
      </c>
      <c r="E1016" s="11">
        <v>63.433</v>
      </c>
      <c r="F1016" s="10">
        <f>Table1[[#This Row],[Life expectancy at birth, total (years) '[SP.DYN.LE00.IN']]]/Table1[[#This Row],[Current health expenditure per capita (current US$) '[SH.XPD.CHEX.PC.CD']]]</f>
        <v>2.6854810146525825</v>
      </c>
      <c r="G1016" s="4">
        <f>Table1[[#This Row],[Life expectancy at birth, total (years) '[SP.DYN.LE00.IN']]]/Table1[[#This Row],[Current health expenditure per capita (current US$) '[SH.XPD.CHEX.PC.CD']]]*1000</f>
        <v>2685.4810146525824</v>
      </c>
    </row>
    <row r="1017" spans="1:7" x14ac:dyDescent="0.25">
      <c r="A1017" s="5" t="s">
        <v>394</v>
      </c>
      <c r="B1017" s="6" t="s">
        <v>100</v>
      </c>
      <c r="C1017" s="5">
        <v>2018</v>
      </c>
      <c r="D1017" s="7">
        <v>21.12731934</v>
      </c>
      <c r="E1017" s="11">
        <v>63.491</v>
      </c>
      <c r="F1017" s="10">
        <f>Table1[[#This Row],[Life expectancy at birth, total (years) '[SP.DYN.LE00.IN']]]/Table1[[#This Row],[Current health expenditure per capita (current US$) '[SH.XPD.CHEX.PC.CD']]]</f>
        <v>3.005161183879753</v>
      </c>
      <c r="G1017" s="4">
        <f>Table1[[#This Row],[Life expectancy at birth, total (years) '[SP.DYN.LE00.IN']]]/Table1[[#This Row],[Current health expenditure per capita (current US$) '[SH.XPD.CHEX.PC.CD']]]*1000</f>
        <v>3005.161183879753</v>
      </c>
    </row>
    <row r="1018" spans="1:7" x14ac:dyDescent="0.25">
      <c r="A1018" s="5" t="s">
        <v>394</v>
      </c>
      <c r="B1018" s="6" t="s">
        <v>100</v>
      </c>
      <c r="C1018" s="5">
        <v>2019</v>
      </c>
      <c r="D1018" s="7">
        <v>15.500848769999999</v>
      </c>
      <c r="E1018" s="11">
        <v>63.503999999999998</v>
      </c>
      <c r="F1018" s="10">
        <f>Table1[[#This Row],[Life expectancy at birth, total (years) '[SP.DYN.LE00.IN']]]/Table1[[#This Row],[Current health expenditure per capita (current US$) '[SH.XPD.CHEX.PC.CD']]]</f>
        <v>4.0968079195059461</v>
      </c>
      <c r="G1018" s="4">
        <f>Table1[[#This Row],[Life expectancy at birth, total (years) '[SP.DYN.LE00.IN']]]/Table1[[#This Row],[Current health expenditure per capita (current US$) '[SH.XPD.CHEX.PC.CD']]]*1000</f>
        <v>4096.8079195059463</v>
      </c>
    </row>
    <row r="1019" spans="1:7" x14ac:dyDescent="0.25">
      <c r="A1019" s="5" t="s">
        <v>394</v>
      </c>
      <c r="B1019" s="6" t="s">
        <v>100</v>
      </c>
      <c r="C1019" s="5">
        <v>2020</v>
      </c>
      <c r="D1019" s="7">
        <v>16.782953259999999</v>
      </c>
      <c r="E1019" s="11">
        <v>62.706000000000003</v>
      </c>
      <c r="F1019" s="10">
        <f>Table1[[#This Row],[Life expectancy at birth, total (years) '[SP.DYN.LE00.IN']]]/Table1[[#This Row],[Current health expenditure per capita (current US$) '[SH.XPD.CHEX.PC.CD']]]</f>
        <v>3.7362911657182321</v>
      </c>
      <c r="G1019" s="4">
        <f>Table1[[#This Row],[Life expectancy at birth, total (years) '[SP.DYN.LE00.IN']]]/Table1[[#This Row],[Current health expenditure per capita (current US$) '[SH.XPD.CHEX.PC.CD']]]*1000</f>
        <v>3736.2911657182322</v>
      </c>
    </row>
    <row r="1020" spans="1:7" x14ac:dyDescent="0.25">
      <c r="A1020" s="5" t="s">
        <v>394</v>
      </c>
      <c r="B1020" s="6" t="s">
        <v>100</v>
      </c>
      <c r="C1020" s="5">
        <v>2021</v>
      </c>
      <c r="D1020" s="7">
        <v>17.17938805</v>
      </c>
      <c r="E1020" s="11">
        <v>62.515999999999998</v>
      </c>
      <c r="F1020" s="10">
        <f>Table1[[#This Row],[Life expectancy at birth, total (years) '[SP.DYN.LE00.IN']]]/Table1[[#This Row],[Current health expenditure per capita (current US$) '[SH.XPD.CHEX.PC.CD']]]</f>
        <v>3.6390120426903096</v>
      </c>
      <c r="G1020" s="4">
        <f>Table1[[#This Row],[Life expectancy at birth, total (years) '[SP.DYN.LE00.IN']]]/Table1[[#This Row],[Current health expenditure per capita (current US$) '[SH.XPD.CHEX.PC.CD']]]*1000</f>
        <v>3639.0120426903095</v>
      </c>
    </row>
    <row r="1021" spans="1:7" x14ac:dyDescent="0.25">
      <c r="A1021" s="5" t="s">
        <v>394</v>
      </c>
      <c r="B1021" s="6" t="s">
        <v>100</v>
      </c>
      <c r="C1021" s="5">
        <v>2022</v>
      </c>
      <c r="D1021" s="7">
        <v>15.85809231</v>
      </c>
      <c r="E1021" s="11">
        <v>63.067999999999998</v>
      </c>
      <c r="F1021" s="10">
        <f>Table1[[#This Row],[Life expectancy at birth, total (years) '[SP.DYN.LE00.IN']]]/Table1[[#This Row],[Current health expenditure per capita (current US$) '[SH.XPD.CHEX.PC.CD']]]</f>
        <v>3.9770231353887229</v>
      </c>
      <c r="G1021" s="4">
        <f>Table1[[#This Row],[Life expectancy at birth, total (years) '[SP.DYN.LE00.IN']]]/Table1[[#This Row],[Current health expenditure per capita (current US$) '[SH.XPD.CHEX.PC.CD']]]*1000</f>
        <v>3977.0231353887229</v>
      </c>
    </row>
    <row r="1022" spans="1:7" x14ac:dyDescent="0.25">
      <c r="A1022" s="5" t="s">
        <v>394</v>
      </c>
      <c r="B1022" s="6" t="s">
        <v>100</v>
      </c>
      <c r="C1022" s="5">
        <v>2023</v>
      </c>
      <c r="D1022" s="7">
        <v>17.440034870000002</v>
      </c>
      <c r="E1022" s="11">
        <v>63.631999999999998</v>
      </c>
      <c r="F1022" s="10">
        <f>Table1[[#This Row],[Life expectancy at birth, total (years) '[SP.DYN.LE00.IN']]]/Table1[[#This Row],[Current health expenditure per capita (current US$) '[SH.XPD.CHEX.PC.CD']]]</f>
        <v>3.6486165580699894</v>
      </c>
      <c r="G1022" s="4">
        <f>Table1[[#This Row],[Life expectancy at birth, total (years) '[SP.DYN.LE00.IN']]]/Table1[[#This Row],[Current health expenditure per capita (current US$) '[SH.XPD.CHEX.PC.CD']]]*1000</f>
        <v>3648.6165580699894</v>
      </c>
    </row>
    <row r="1023" spans="1:7" hidden="1" x14ac:dyDescent="0.25">
      <c r="B1023" s="1"/>
      <c r="D1023" s="3"/>
      <c r="E1023"/>
      <c r="F1023" t="e">
        <f>Table1[[#This Row],[Life expectancy at birth, total (years) '[SP.DYN.LE00.IN']]]/Table1[[#This Row],[Current health expenditure per capita (current US$) '[SH.XPD.CHEX.PC.CD']]]</f>
        <v>#DIV/0!</v>
      </c>
      <c r="G1023" s="2" t="e">
        <f>Table1[[#This Row],[Life expectancy at birth, total (years) '[SP.DYN.LE00.IN']]]/Table1[[#This Row],[Current health expenditure per capita (current US$) '[SH.XPD.CHEX.PC.CD']]]*1000</f>
        <v>#DIV/0!</v>
      </c>
    </row>
    <row r="1024" spans="1:7" x14ac:dyDescent="0.25">
      <c r="A1024" s="5" t="s">
        <v>361</v>
      </c>
      <c r="B1024" s="6" t="s">
        <v>88</v>
      </c>
      <c r="C1024" s="5">
        <v>2015</v>
      </c>
      <c r="D1024" s="7">
        <v>34.973106379999997</v>
      </c>
      <c r="E1024" s="11">
        <v>62.323999999999998</v>
      </c>
      <c r="F1024" s="10">
        <f>Table1[[#This Row],[Life expectancy at birth, total (years) '[SP.DYN.LE00.IN']]]/Table1[[#This Row],[Current health expenditure per capita (current US$) '[SH.XPD.CHEX.PC.CD']]]</f>
        <v>1.7820550260196819</v>
      </c>
      <c r="G1024" s="4">
        <f>Table1[[#This Row],[Life expectancy at birth, total (years) '[SP.DYN.LE00.IN']]]/Table1[[#This Row],[Current health expenditure per capita (current US$) '[SH.XPD.CHEX.PC.CD']]]*1000</f>
        <v>1782.0550260196819</v>
      </c>
    </row>
    <row r="1025" spans="1:7" x14ac:dyDescent="0.25">
      <c r="A1025" s="5" t="s">
        <v>361</v>
      </c>
      <c r="B1025" s="6" t="s">
        <v>88</v>
      </c>
      <c r="C1025" s="5">
        <v>2016</v>
      </c>
      <c r="D1025" s="7">
        <v>34.030757899999998</v>
      </c>
      <c r="E1025" s="11">
        <v>63.162999999999997</v>
      </c>
      <c r="F1025" s="10">
        <f>Table1[[#This Row],[Life expectancy at birth, total (years) '[SP.DYN.LE00.IN']]]/Table1[[#This Row],[Current health expenditure per capita (current US$) '[SH.XPD.CHEX.PC.CD']]]</f>
        <v>1.8560562237727889</v>
      </c>
      <c r="G1025" s="4">
        <f>Table1[[#This Row],[Life expectancy at birth, total (years) '[SP.DYN.LE00.IN']]]/Table1[[#This Row],[Current health expenditure per capita (current US$) '[SH.XPD.CHEX.PC.CD']]]*1000</f>
        <v>1856.0562237727888</v>
      </c>
    </row>
    <row r="1026" spans="1:7" x14ac:dyDescent="0.25">
      <c r="A1026" s="5" t="s">
        <v>361</v>
      </c>
      <c r="B1026" s="6" t="s">
        <v>88</v>
      </c>
      <c r="C1026" s="5">
        <v>2017</v>
      </c>
      <c r="D1026" s="7">
        <v>37.60110092</v>
      </c>
      <c r="E1026" s="11">
        <v>63.914000000000001</v>
      </c>
      <c r="F1026" s="10">
        <f>Table1[[#This Row],[Life expectancy at birth, total (years) '[SP.DYN.LE00.IN']]]/Table1[[#This Row],[Current health expenditure per capita (current US$) '[SH.XPD.CHEX.PC.CD']]]</f>
        <v>1.6997906560231641</v>
      </c>
      <c r="G1026" s="4">
        <f>Table1[[#This Row],[Life expectancy at birth, total (years) '[SP.DYN.LE00.IN']]]/Table1[[#This Row],[Current health expenditure per capita (current US$) '[SH.XPD.CHEX.PC.CD']]]*1000</f>
        <v>1699.790656023164</v>
      </c>
    </row>
    <row r="1027" spans="1:7" x14ac:dyDescent="0.25">
      <c r="A1027" s="5" t="s">
        <v>361</v>
      </c>
      <c r="B1027" s="6" t="s">
        <v>88</v>
      </c>
      <c r="C1027" s="5">
        <v>2018</v>
      </c>
      <c r="D1027" s="7">
        <v>36.703029630000003</v>
      </c>
      <c r="E1027" s="11">
        <v>64.463999999999999</v>
      </c>
      <c r="F1027" s="10">
        <f>Table1[[#This Row],[Life expectancy at birth, total (years) '[SP.DYN.LE00.IN']]]/Table1[[#This Row],[Current health expenditure per capita (current US$) '[SH.XPD.CHEX.PC.CD']]]</f>
        <v>1.756367271308551</v>
      </c>
      <c r="G1027" s="4">
        <f>Table1[[#This Row],[Life expectancy at birth, total (years) '[SP.DYN.LE00.IN']]]/Table1[[#This Row],[Current health expenditure per capita (current US$) '[SH.XPD.CHEX.PC.CD']]]*1000</f>
        <v>1756.3672713085509</v>
      </c>
    </row>
    <row r="1028" spans="1:7" x14ac:dyDescent="0.25">
      <c r="A1028" s="5" t="s">
        <v>361</v>
      </c>
      <c r="B1028" s="6" t="s">
        <v>88</v>
      </c>
      <c r="C1028" s="5">
        <v>2019</v>
      </c>
      <c r="D1028" s="7">
        <v>36.915191649999997</v>
      </c>
      <c r="E1028" s="11">
        <v>64.995000000000005</v>
      </c>
      <c r="F1028" s="10">
        <f>Table1[[#This Row],[Life expectancy at birth, total (years) '[SP.DYN.LE00.IN']]]/Table1[[#This Row],[Current health expenditure per capita (current US$) '[SH.XPD.CHEX.PC.CD']]]</f>
        <v>1.760657255046379</v>
      </c>
      <c r="G1028" s="4">
        <f>Table1[[#This Row],[Life expectancy at birth, total (years) '[SP.DYN.LE00.IN']]]/Table1[[#This Row],[Current health expenditure per capita (current US$) '[SH.XPD.CHEX.PC.CD']]]*1000</f>
        <v>1760.6572550463791</v>
      </c>
    </row>
    <row r="1029" spans="1:7" x14ac:dyDescent="0.25">
      <c r="A1029" s="5" t="s">
        <v>361</v>
      </c>
      <c r="B1029" s="6" t="s">
        <v>88</v>
      </c>
      <c r="C1029" s="5">
        <v>2020</v>
      </c>
      <c r="D1029" s="7">
        <v>42.378818510000002</v>
      </c>
      <c r="E1029" s="11">
        <v>65.215999999999994</v>
      </c>
      <c r="F1029" s="10">
        <f>Table1[[#This Row],[Life expectancy at birth, total (years) '[SP.DYN.LE00.IN']]]/Table1[[#This Row],[Current health expenditure per capita (current US$) '[SH.XPD.CHEX.PC.CD']]]</f>
        <v>1.5388819767264434</v>
      </c>
      <c r="G1029" s="4">
        <f>Table1[[#This Row],[Life expectancy at birth, total (years) '[SP.DYN.LE00.IN']]]/Table1[[#This Row],[Current health expenditure per capita (current US$) '[SH.XPD.CHEX.PC.CD']]]*1000</f>
        <v>1538.8819767264436</v>
      </c>
    </row>
    <row r="1030" spans="1:7" x14ac:dyDescent="0.25">
      <c r="A1030" s="5" t="s">
        <v>361</v>
      </c>
      <c r="B1030" s="6" t="s">
        <v>88</v>
      </c>
      <c r="C1030" s="5">
        <v>2021</v>
      </c>
      <c r="D1030" s="7">
        <v>46.41017532</v>
      </c>
      <c r="E1030" s="11">
        <v>64.781999999999996</v>
      </c>
      <c r="F1030" s="10">
        <f>Table1[[#This Row],[Life expectancy at birth, total (years) '[SP.DYN.LE00.IN']]]/Table1[[#This Row],[Current health expenditure per capita (current US$) '[SH.XPD.CHEX.PC.CD']]]</f>
        <v>1.395857687529201</v>
      </c>
      <c r="G1030" s="4">
        <f>Table1[[#This Row],[Life expectancy at birth, total (years) '[SP.DYN.LE00.IN']]]/Table1[[#This Row],[Current health expenditure per capita (current US$) '[SH.XPD.CHEX.PC.CD']]]*1000</f>
        <v>1395.857687529201</v>
      </c>
    </row>
    <row r="1031" spans="1:7" x14ac:dyDescent="0.25">
      <c r="A1031" s="5" t="s">
        <v>361</v>
      </c>
      <c r="B1031" s="6" t="s">
        <v>88</v>
      </c>
      <c r="C1031" s="5">
        <v>2022</v>
      </c>
      <c r="D1031" s="7">
        <v>40.034538269999999</v>
      </c>
      <c r="E1031" s="11">
        <v>66.037000000000006</v>
      </c>
      <c r="F1031" s="10">
        <f>Table1[[#This Row],[Life expectancy at birth, total (years) '[SP.DYN.LE00.IN']]]/Table1[[#This Row],[Current health expenditure per capita (current US$) '[SH.XPD.CHEX.PC.CD']]]</f>
        <v>1.6495007274627427</v>
      </c>
      <c r="G1031" s="4">
        <f>Table1[[#This Row],[Life expectancy at birth, total (years) '[SP.DYN.LE00.IN']]]/Table1[[#This Row],[Current health expenditure per capita (current US$) '[SH.XPD.CHEX.PC.CD']]]*1000</f>
        <v>1649.5007274627426</v>
      </c>
    </row>
    <row r="1032" spans="1:7" x14ac:dyDescent="0.25">
      <c r="A1032" s="5" t="s">
        <v>361</v>
      </c>
      <c r="B1032" s="6" t="s">
        <v>88</v>
      </c>
      <c r="C1032" s="5">
        <v>2023</v>
      </c>
      <c r="D1032" s="7">
        <v>41.266647339999999</v>
      </c>
      <c r="E1032" s="11">
        <v>67.352999999999994</v>
      </c>
      <c r="F1032" s="10">
        <f>Table1[[#This Row],[Life expectancy at birth, total (years) '[SP.DYN.LE00.IN']]]/Table1[[#This Row],[Current health expenditure per capita (current US$) '[SH.XPD.CHEX.PC.CD']]]</f>
        <v>1.6321413136635974</v>
      </c>
      <c r="G1032" s="4">
        <f>Table1[[#This Row],[Life expectancy at birth, total (years) '[SP.DYN.LE00.IN']]]/Table1[[#This Row],[Current health expenditure per capita (current US$) '[SH.XPD.CHEX.PC.CD']]]*1000</f>
        <v>1632.1413136635974</v>
      </c>
    </row>
    <row r="1033" spans="1:7" hidden="1" x14ac:dyDescent="0.25">
      <c r="B1033" s="1"/>
      <c r="D1033" s="3"/>
      <c r="E1033"/>
      <c r="F1033" t="e">
        <f>Table1[[#This Row],[Life expectancy at birth, total (years) '[SP.DYN.LE00.IN']]]/Table1[[#This Row],[Current health expenditure per capita (current US$) '[SH.XPD.CHEX.PC.CD']]]</f>
        <v>#DIV/0!</v>
      </c>
      <c r="G1033" s="2" t="e">
        <f>Table1[[#This Row],[Life expectancy at birth, total (years) '[SP.DYN.LE00.IN']]]/Table1[[#This Row],[Current health expenditure per capita (current US$) '[SH.XPD.CHEX.PC.CD']]]*1000</f>
        <v>#DIV/0!</v>
      </c>
    </row>
    <row r="1034" spans="1:7" x14ac:dyDescent="0.25">
      <c r="A1034" s="5" t="s">
        <v>199</v>
      </c>
      <c r="B1034" s="6" t="s">
        <v>408</v>
      </c>
      <c r="C1034" s="5">
        <v>2015</v>
      </c>
      <c r="D1034" s="7">
        <v>368.77331543000003</v>
      </c>
      <c r="E1034" s="11">
        <v>75.287999999999997</v>
      </c>
      <c r="F1034" s="10">
        <f>Table1[[#This Row],[Life expectancy at birth, total (years) '[SP.DYN.LE00.IN']]]/Table1[[#This Row],[Current health expenditure per capita (current US$) '[SH.XPD.CHEX.PC.CD']]]</f>
        <v>0.20415793890133313</v>
      </c>
      <c r="G1034" s="4">
        <f>Table1[[#This Row],[Life expectancy at birth, total (years) '[SP.DYN.LE00.IN']]]/Table1[[#This Row],[Current health expenditure per capita (current US$) '[SH.XPD.CHEX.PC.CD']]]*1000</f>
        <v>204.15793890133313</v>
      </c>
    </row>
    <row r="1035" spans="1:7" x14ac:dyDescent="0.25">
      <c r="A1035" s="5" t="s">
        <v>199</v>
      </c>
      <c r="B1035" s="6" t="s">
        <v>408</v>
      </c>
      <c r="C1035" s="5">
        <v>2016</v>
      </c>
      <c r="D1035" s="7">
        <v>350.71160888999998</v>
      </c>
      <c r="E1035" s="11">
        <v>75.370999999999995</v>
      </c>
      <c r="F1035" s="10">
        <f>Table1[[#This Row],[Life expectancy at birth, total (years) '[SP.DYN.LE00.IN']]]/Table1[[#This Row],[Current health expenditure per capita (current US$) '[SH.XPD.CHEX.PC.CD']]]</f>
        <v>0.2149087685992167</v>
      </c>
      <c r="G1035" s="4">
        <f>Table1[[#This Row],[Life expectancy at birth, total (years) '[SP.DYN.LE00.IN']]]/Table1[[#This Row],[Current health expenditure per capita (current US$) '[SH.XPD.CHEX.PC.CD']]]*1000</f>
        <v>214.9087685992167</v>
      </c>
    </row>
    <row r="1036" spans="1:7" x14ac:dyDescent="0.25">
      <c r="A1036" s="5" t="s">
        <v>199</v>
      </c>
      <c r="B1036" s="6" t="s">
        <v>408</v>
      </c>
      <c r="C1036" s="5">
        <v>2017</v>
      </c>
      <c r="D1036" s="7">
        <v>366.36639403999999</v>
      </c>
      <c r="E1036" s="11">
        <v>75.542000000000002</v>
      </c>
      <c r="F1036" s="10">
        <f>Table1[[#This Row],[Life expectancy at birth, total (years) '[SP.DYN.LE00.IN']]]/Table1[[#This Row],[Current health expenditure per capita (current US$) '[SH.XPD.CHEX.PC.CD']]]</f>
        <v>0.20619249262188688</v>
      </c>
      <c r="G1036" s="4">
        <f>Table1[[#This Row],[Life expectancy at birth, total (years) '[SP.DYN.LE00.IN']]]/Table1[[#This Row],[Current health expenditure per capita (current US$) '[SH.XPD.CHEX.PC.CD']]]*1000</f>
        <v>206.19249262188688</v>
      </c>
    </row>
    <row r="1037" spans="1:7" x14ac:dyDescent="0.25">
      <c r="A1037" s="5" t="s">
        <v>199</v>
      </c>
      <c r="B1037" s="6" t="s">
        <v>408</v>
      </c>
      <c r="C1037" s="5">
        <v>2018</v>
      </c>
      <c r="D1037" s="7">
        <v>409.84710693</v>
      </c>
      <c r="E1037" s="11">
        <v>75.733999999999995</v>
      </c>
      <c r="F1037" s="10">
        <f>Table1[[#This Row],[Life expectancy at birth, total (years) '[SP.DYN.LE00.IN']]]/Table1[[#This Row],[Current health expenditure per capita (current US$) '[SH.XPD.CHEX.PC.CD']]]</f>
        <v>0.18478598169764565</v>
      </c>
      <c r="G1037" s="4">
        <f>Table1[[#This Row],[Life expectancy at birth, total (years) '[SP.DYN.LE00.IN']]]/Table1[[#This Row],[Current health expenditure per capita (current US$) '[SH.XPD.CHEX.PC.CD']]]*1000</f>
        <v>184.78598169764564</v>
      </c>
    </row>
    <row r="1038" spans="1:7" x14ac:dyDescent="0.25">
      <c r="A1038" s="5" t="s">
        <v>199</v>
      </c>
      <c r="B1038" s="6" t="s">
        <v>408</v>
      </c>
      <c r="C1038" s="5">
        <v>2019</v>
      </c>
      <c r="D1038" s="7">
        <v>419.32568358999998</v>
      </c>
      <c r="E1038" s="11">
        <v>75.900000000000006</v>
      </c>
      <c r="F1038" s="10">
        <f>Table1[[#This Row],[Life expectancy at birth, total (years) '[SP.DYN.LE00.IN']]]/Table1[[#This Row],[Current health expenditure per capita (current US$) '[SH.XPD.CHEX.PC.CD']]]</f>
        <v>0.18100489183059917</v>
      </c>
      <c r="G1038" s="4">
        <f>Table1[[#This Row],[Life expectancy at birth, total (years) '[SP.DYN.LE00.IN']]]/Table1[[#This Row],[Current health expenditure per capita (current US$) '[SH.XPD.CHEX.PC.CD']]]*1000</f>
        <v>181.00489183059918</v>
      </c>
    </row>
    <row r="1039" spans="1:7" x14ac:dyDescent="0.25">
      <c r="A1039" s="5" t="s">
        <v>199</v>
      </c>
      <c r="B1039" s="6" t="s">
        <v>408</v>
      </c>
      <c r="C1039" s="5">
        <v>2020</v>
      </c>
      <c r="D1039" s="7">
        <v>406.52005005000001</v>
      </c>
      <c r="E1039" s="11">
        <v>76.057000000000002</v>
      </c>
      <c r="F1039" s="10">
        <f>Table1[[#This Row],[Life expectancy at birth, total (years) '[SP.DYN.LE00.IN']]]/Table1[[#This Row],[Current health expenditure per capita (current US$) '[SH.XPD.CHEX.PC.CD']]]</f>
        <v>0.1870928629243388</v>
      </c>
      <c r="G1039" s="4">
        <f>Table1[[#This Row],[Life expectancy at birth, total (years) '[SP.DYN.LE00.IN']]]/Table1[[#This Row],[Current health expenditure per capita (current US$) '[SH.XPD.CHEX.PC.CD']]]*1000</f>
        <v>187.09286292433879</v>
      </c>
    </row>
    <row r="1040" spans="1:7" x14ac:dyDescent="0.25">
      <c r="A1040" s="5" t="s">
        <v>199</v>
      </c>
      <c r="B1040" s="6" t="s">
        <v>408</v>
      </c>
      <c r="C1040" s="5">
        <v>2021</v>
      </c>
      <c r="D1040" s="7">
        <v>476.94366454999999</v>
      </c>
      <c r="E1040" s="11">
        <v>73.917000000000002</v>
      </c>
      <c r="F1040" s="10">
        <f>Table1[[#This Row],[Life expectancy at birth, total (years) '[SP.DYN.LE00.IN']]]/Table1[[#This Row],[Current health expenditure per capita (current US$) '[SH.XPD.CHEX.PC.CD']]]</f>
        <v>0.1549805679246023</v>
      </c>
      <c r="G1040" s="4">
        <f>Table1[[#This Row],[Life expectancy at birth, total (years) '[SP.DYN.LE00.IN']]]/Table1[[#This Row],[Current health expenditure per capita (current US$) '[SH.XPD.CHEX.PC.CD']]]*1000</f>
        <v>154.9805679246023</v>
      </c>
    </row>
    <row r="1041" spans="1:7" x14ac:dyDescent="0.25">
      <c r="A1041" s="5" t="s">
        <v>199</v>
      </c>
      <c r="B1041" s="6" t="s">
        <v>408</v>
      </c>
      <c r="C1041" s="5">
        <v>2022</v>
      </c>
      <c r="D1041" s="7">
        <v>458.21963500999999</v>
      </c>
      <c r="E1041" s="11">
        <v>75.444000000000003</v>
      </c>
      <c r="F1041" s="10">
        <f>Table1[[#This Row],[Life expectancy at birth, total (years) '[SP.DYN.LE00.IN']]]/Table1[[#This Row],[Current health expenditure per capita (current US$) '[SH.XPD.CHEX.PC.CD']]]</f>
        <v>0.16464593447278519</v>
      </c>
      <c r="G1041" s="4">
        <f>Table1[[#This Row],[Life expectancy at birth, total (years) '[SP.DYN.LE00.IN']]]/Table1[[#This Row],[Current health expenditure per capita (current US$) '[SH.XPD.CHEX.PC.CD']]]*1000</f>
        <v>164.6459344727852</v>
      </c>
    </row>
    <row r="1042" spans="1:7" x14ac:dyDescent="0.25">
      <c r="A1042" s="5" t="s">
        <v>199</v>
      </c>
      <c r="B1042" s="6" t="s">
        <v>408</v>
      </c>
      <c r="C1042" s="5">
        <v>2023</v>
      </c>
      <c r="D1042" s="7">
        <v>450.33853148999998</v>
      </c>
      <c r="E1042" s="11">
        <v>76.656999999999996</v>
      </c>
      <c r="F1042" s="10">
        <f>Table1[[#This Row],[Life expectancy at birth, total (years) '[SP.DYN.LE00.IN']]]/Table1[[#This Row],[Current health expenditure per capita (current US$) '[SH.XPD.CHEX.PC.CD']]]</f>
        <v>0.17022083308388239</v>
      </c>
      <c r="G1042" s="4">
        <f>Table1[[#This Row],[Life expectancy at birth, total (years) '[SP.DYN.LE00.IN']]]/Table1[[#This Row],[Current health expenditure per capita (current US$) '[SH.XPD.CHEX.PC.CD']]]*1000</f>
        <v>170.22083308388238</v>
      </c>
    </row>
    <row r="1043" spans="1:7" hidden="1" x14ac:dyDescent="0.25">
      <c r="B1043" s="1"/>
      <c r="D1043" s="3"/>
      <c r="E1043"/>
      <c r="F1043" t="e">
        <f>Table1[[#This Row],[Life expectancy at birth, total (years) '[SP.DYN.LE00.IN']]]/Table1[[#This Row],[Current health expenditure per capita (current US$) '[SH.XPD.CHEX.PC.CD']]]</f>
        <v>#DIV/0!</v>
      </c>
      <c r="G1043" s="2" t="e">
        <f>Table1[[#This Row],[Life expectancy at birth, total (years) '[SP.DYN.LE00.IN']]]/Table1[[#This Row],[Current health expenditure per capita (current US$) '[SH.XPD.CHEX.PC.CD']]]*1000</f>
        <v>#DIV/0!</v>
      </c>
    </row>
    <row r="1044" spans="1:7" x14ac:dyDescent="0.25">
      <c r="A1044" s="5" t="s">
        <v>242</v>
      </c>
      <c r="B1044" s="6" t="s">
        <v>56</v>
      </c>
      <c r="C1044" s="5">
        <v>2015</v>
      </c>
      <c r="D1044" s="7">
        <v>837.47290038999995</v>
      </c>
      <c r="E1044" s="11">
        <v>78.606999999999999</v>
      </c>
      <c r="F1044" s="10">
        <f>Table1[[#This Row],[Life expectancy at birth, total (years) '[SP.DYN.LE00.IN']]]/Table1[[#This Row],[Current health expenditure per capita (current US$) '[SH.XPD.CHEX.PC.CD']]]</f>
        <v>9.3862141644695335E-2</v>
      </c>
      <c r="G1044" s="4">
        <f>Table1[[#This Row],[Life expectancy at birth, total (years) '[SP.DYN.LE00.IN']]]/Table1[[#This Row],[Current health expenditure per capita (current US$) '[SH.XPD.CHEX.PC.CD']]]*1000</f>
        <v>93.862141644695342</v>
      </c>
    </row>
    <row r="1045" spans="1:7" x14ac:dyDescent="0.25">
      <c r="A1045" s="5" t="s">
        <v>242</v>
      </c>
      <c r="B1045" s="6" t="s">
        <v>56</v>
      </c>
      <c r="C1045" s="5">
        <v>2016</v>
      </c>
      <c r="D1045" s="7">
        <v>1017.99908447</v>
      </c>
      <c r="E1045" s="11">
        <v>78.912999999999997</v>
      </c>
      <c r="F1045" s="10">
        <f>Table1[[#This Row],[Life expectancy at birth, total (years) '[SP.DYN.LE00.IN']]]/Table1[[#This Row],[Current health expenditure per capita (current US$) '[SH.XPD.CHEX.PC.CD']]]</f>
        <v>7.7517751443837893E-2</v>
      </c>
      <c r="G1045" s="4">
        <f>Table1[[#This Row],[Life expectancy at birth, total (years) '[SP.DYN.LE00.IN']]]/Table1[[#This Row],[Current health expenditure per capita (current US$) '[SH.XPD.CHEX.PC.CD']]]*1000</f>
        <v>77.517751443837895</v>
      </c>
    </row>
    <row r="1046" spans="1:7" x14ac:dyDescent="0.25">
      <c r="A1046" s="5" t="s">
        <v>242</v>
      </c>
      <c r="B1046" s="6" t="s">
        <v>56</v>
      </c>
      <c r="C1046" s="5">
        <v>2017</v>
      </c>
      <c r="D1046" s="7">
        <v>961.57415771000001</v>
      </c>
      <c r="E1046" s="11">
        <v>79.227999999999994</v>
      </c>
      <c r="F1046" s="10">
        <f>Table1[[#This Row],[Life expectancy at birth, total (years) '[SP.DYN.LE00.IN']]]/Table1[[#This Row],[Current health expenditure per capita (current US$) '[SH.XPD.CHEX.PC.CD']]]</f>
        <v>8.2394061201355909E-2</v>
      </c>
      <c r="G1046" s="4">
        <f>Table1[[#This Row],[Life expectancy at birth, total (years) '[SP.DYN.LE00.IN']]]/Table1[[#This Row],[Current health expenditure per capita (current US$) '[SH.XPD.CHEX.PC.CD']]]*1000</f>
        <v>82.39406120135591</v>
      </c>
    </row>
    <row r="1047" spans="1:7" x14ac:dyDescent="0.25">
      <c r="A1047" s="5" t="s">
        <v>242</v>
      </c>
      <c r="B1047" s="6" t="s">
        <v>56</v>
      </c>
      <c r="C1047" s="5">
        <v>2018</v>
      </c>
      <c r="D1047" s="7">
        <v>833.21575928000004</v>
      </c>
      <c r="E1047" s="11">
        <v>79.433000000000007</v>
      </c>
      <c r="F1047" s="10">
        <f>Table1[[#This Row],[Life expectancy at birth, total (years) '[SP.DYN.LE00.IN']]]/Table1[[#This Row],[Current health expenditure per capita (current US$) '[SH.XPD.CHEX.PC.CD']]]</f>
        <v>9.5333050431787081E-2</v>
      </c>
      <c r="G1047" s="4">
        <f>Table1[[#This Row],[Life expectancy at birth, total (years) '[SP.DYN.LE00.IN']]]/Table1[[#This Row],[Current health expenditure per capita (current US$) '[SH.XPD.CHEX.PC.CD']]]*1000</f>
        <v>95.333050431787086</v>
      </c>
    </row>
    <row r="1048" spans="1:7" x14ac:dyDescent="0.25">
      <c r="A1048" s="5" t="s">
        <v>242</v>
      </c>
      <c r="B1048" s="6" t="s">
        <v>56</v>
      </c>
      <c r="C1048" s="5">
        <v>2019</v>
      </c>
      <c r="D1048" s="7">
        <v>880.79962158000001</v>
      </c>
      <c r="E1048" s="11">
        <v>79.706999999999994</v>
      </c>
      <c r="F1048" s="10">
        <f>Table1[[#This Row],[Life expectancy at birth, total (years) '[SP.DYN.LE00.IN']]]/Table1[[#This Row],[Current health expenditure per capita (current US$) '[SH.XPD.CHEX.PC.CD']]]</f>
        <v>9.0493908088901787E-2</v>
      </c>
      <c r="G1048" s="4">
        <f>Table1[[#This Row],[Life expectancy at birth, total (years) '[SP.DYN.LE00.IN']]]/Table1[[#This Row],[Current health expenditure per capita (current US$) '[SH.XPD.CHEX.PC.CD']]]*1000</f>
        <v>90.49390808890179</v>
      </c>
    </row>
    <row r="1049" spans="1:7" x14ac:dyDescent="0.25">
      <c r="A1049" s="5" t="s">
        <v>242</v>
      </c>
      <c r="B1049" s="6" t="s">
        <v>56</v>
      </c>
      <c r="C1049" s="5">
        <v>2020</v>
      </c>
      <c r="D1049" s="7">
        <v>845.82440185999997</v>
      </c>
      <c r="E1049" s="11">
        <v>78.712999999999994</v>
      </c>
      <c r="F1049" s="10">
        <f>Table1[[#This Row],[Life expectancy at birth, total (years) '[SP.DYN.LE00.IN']]]/Table1[[#This Row],[Current health expenditure per capita (current US$) '[SH.XPD.CHEX.PC.CD']]]</f>
        <v>9.3060687096408093E-2</v>
      </c>
      <c r="G1049" s="4">
        <f>Table1[[#This Row],[Life expectancy at birth, total (years) '[SP.DYN.LE00.IN']]]/Table1[[#This Row],[Current health expenditure per capita (current US$) '[SH.XPD.CHEX.PC.CD']]]*1000</f>
        <v>93.060687096408088</v>
      </c>
    </row>
    <row r="1050" spans="1:7" x14ac:dyDescent="0.25">
      <c r="A1050" s="5" t="s">
        <v>242</v>
      </c>
      <c r="B1050" s="6" t="s">
        <v>56</v>
      </c>
      <c r="C1050" s="5">
        <v>2021</v>
      </c>
      <c r="D1050" s="7">
        <v>901.09185791000004</v>
      </c>
      <c r="E1050" s="11">
        <v>78.052000000000007</v>
      </c>
      <c r="F1050" s="10">
        <f>Table1[[#This Row],[Life expectancy at birth, total (years) '[SP.DYN.LE00.IN']]]/Table1[[#This Row],[Current health expenditure per capita (current US$) '[SH.XPD.CHEX.PC.CD']]]</f>
        <v>8.6619359962961454E-2</v>
      </c>
      <c r="G1050" s="4">
        <f>Table1[[#This Row],[Life expectancy at birth, total (years) '[SP.DYN.LE00.IN']]]/Table1[[#This Row],[Current health expenditure per capita (current US$) '[SH.XPD.CHEX.PC.CD']]]*1000</f>
        <v>86.619359962961454</v>
      </c>
    </row>
    <row r="1051" spans="1:7" x14ac:dyDescent="0.25">
      <c r="A1051" s="5" t="s">
        <v>242</v>
      </c>
      <c r="B1051" s="6" t="s">
        <v>56</v>
      </c>
      <c r="C1051" s="5">
        <v>2022</v>
      </c>
      <c r="D1051" s="7">
        <v>883.91467284999999</v>
      </c>
      <c r="E1051" s="11">
        <v>80.760000000000005</v>
      </c>
      <c r="F1051" s="10">
        <f>Table1[[#This Row],[Life expectancy at birth, total (years) '[SP.DYN.LE00.IN']]]/Table1[[#This Row],[Current health expenditure per capita (current US$) '[SH.XPD.CHEX.PC.CD']]]</f>
        <v>9.1366285095829544E-2</v>
      </c>
      <c r="G1051" s="4">
        <f>Table1[[#This Row],[Life expectancy at birth, total (years) '[SP.DYN.LE00.IN']]]/Table1[[#This Row],[Current health expenditure per capita (current US$) '[SH.XPD.CHEX.PC.CD']]]*1000</f>
        <v>91.366285095829539</v>
      </c>
    </row>
    <row r="1052" spans="1:7" x14ac:dyDescent="0.25">
      <c r="A1052" s="5" t="s">
        <v>242</v>
      </c>
      <c r="B1052" s="6" t="s">
        <v>56</v>
      </c>
      <c r="C1052" s="5">
        <v>2023</v>
      </c>
      <c r="D1052" s="7">
        <v>1159.0281982399999</v>
      </c>
      <c r="E1052" s="11">
        <v>81.040999999999997</v>
      </c>
      <c r="F1052" s="10">
        <f>Table1[[#This Row],[Life expectancy at birth, total (years) '[SP.DYN.LE00.IN']]]/Table1[[#This Row],[Current health expenditure per capita (current US$) '[SH.XPD.CHEX.PC.CD']]]</f>
        <v>6.9921508487077233E-2</v>
      </c>
      <c r="G1052" s="4">
        <f>Table1[[#This Row],[Life expectancy at birth, total (years) '[SP.DYN.LE00.IN']]]/Table1[[#This Row],[Current health expenditure per capita (current US$) '[SH.XPD.CHEX.PC.CD']]]*1000</f>
        <v>69.921508487077233</v>
      </c>
    </row>
    <row r="1053" spans="1:7" hidden="1" x14ac:dyDescent="0.25">
      <c r="B1053" s="1"/>
      <c r="D1053" s="3"/>
      <c r="E1053"/>
      <c r="F1053" t="e">
        <f>Table1[[#This Row],[Life expectancy at birth, total (years) '[SP.DYN.LE00.IN']]]/Table1[[#This Row],[Current health expenditure per capita (current US$) '[SH.XPD.CHEX.PC.CD']]]</f>
        <v>#DIV/0!</v>
      </c>
      <c r="G1053" s="2" t="e">
        <f>Table1[[#This Row],[Life expectancy at birth, total (years) '[SP.DYN.LE00.IN']]]/Table1[[#This Row],[Current health expenditure per capita (current US$) '[SH.XPD.CHEX.PC.CD']]]*1000</f>
        <v>#DIV/0!</v>
      </c>
    </row>
    <row r="1054" spans="1:7" x14ac:dyDescent="0.25">
      <c r="A1054" s="5" t="s">
        <v>229</v>
      </c>
      <c r="B1054" s="6" t="s">
        <v>18</v>
      </c>
      <c r="C1054" s="5">
        <v>2015</v>
      </c>
      <c r="D1054" s="7">
        <v>28.978422160000001</v>
      </c>
      <c r="E1054" s="11">
        <v>57.851999999999997</v>
      </c>
      <c r="F1054" s="10">
        <f>Table1[[#This Row],[Life expectancy at birth, total (years) '[SP.DYN.LE00.IN']]]/Table1[[#This Row],[Current health expenditure per capita (current US$) '[SH.XPD.CHEX.PC.CD']]]</f>
        <v>1.996381986589155</v>
      </c>
      <c r="G1054" s="4">
        <f>Table1[[#This Row],[Life expectancy at birth, total (years) '[SP.DYN.LE00.IN']]]/Table1[[#This Row],[Current health expenditure per capita (current US$) '[SH.XPD.CHEX.PC.CD']]]*1000</f>
        <v>1996.3819865891551</v>
      </c>
    </row>
    <row r="1055" spans="1:7" x14ac:dyDescent="0.25">
      <c r="A1055" s="5" t="s">
        <v>229</v>
      </c>
      <c r="B1055" s="6" t="s">
        <v>18</v>
      </c>
      <c r="C1055" s="5">
        <v>2016</v>
      </c>
      <c r="D1055" s="7">
        <v>27.58086205</v>
      </c>
      <c r="E1055" s="11">
        <v>58.286000000000001</v>
      </c>
      <c r="F1055" s="10">
        <f>Table1[[#This Row],[Life expectancy at birth, total (years) '[SP.DYN.LE00.IN']]]/Table1[[#This Row],[Current health expenditure per capita (current US$) '[SH.XPD.CHEX.PC.CD']]]</f>
        <v>2.1132769488617198</v>
      </c>
      <c r="G1055" s="4">
        <f>Table1[[#This Row],[Life expectancy at birth, total (years) '[SP.DYN.LE00.IN']]]/Table1[[#This Row],[Current health expenditure per capita (current US$) '[SH.XPD.CHEX.PC.CD']]]*1000</f>
        <v>2113.2769488617196</v>
      </c>
    </row>
    <row r="1056" spans="1:7" x14ac:dyDescent="0.25">
      <c r="A1056" s="5" t="s">
        <v>229</v>
      </c>
      <c r="B1056" s="6" t="s">
        <v>18</v>
      </c>
      <c r="C1056" s="5">
        <v>2017</v>
      </c>
      <c r="D1056" s="7">
        <v>28.494676590000001</v>
      </c>
      <c r="E1056" s="11">
        <v>58.561999999999998</v>
      </c>
      <c r="F1056" s="10">
        <f>Table1[[#This Row],[Life expectancy at birth, total (years) '[SP.DYN.LE00.IN']]]/Table1[[#This Row],[Current health expenditure per capita (current US$) '[SH.XPD.CHEX.PC.CD']]]</f>
        <v>2.0551908990801429</v>
      </c>
      <c r="G1056" s="4">
        <f>Table1[[#This Row],[Life expectancy at birth, total (years) '[SP.DYN.LE00.IN']]]/Table1[[#This Row],[Current health expenditure per capita (current US$) '[SH.XPD.CHEX.PC.CD']]]*1000</f>
        <v>2055.190899080143</v>
      </c>
    </row>
    <row r="1057" spans="1:7" x14ac:dyDescent="0.25">
      <c r="A1057" s="5" t="s">
        <v>229</v>
      </c>
      <c r="B1057" s="6" t="s">
        <v>18</v>
      </c>
      <c r="C1057" s="5">
        <v>2018</v>
      </c>
      <c r="D1057" s="7">
        <v>31.16962242</v>
      </c>
      <c r="E1057" s="11">
        <v>58.872999999999998</v>
      </c>
      <c r="F1057" s="10">
        <f>Table1[[#This Row],[Life expectancy at birth, total (years) '[SP.DYN.LE00.IN']]]/Table1[[#This Row],[Current health expenditure per capita (current US$) '[SH.XPD.CHEX.PC.CD']]]</f>
        <v>1.888794134452656</v>
      </c>
      <c r="G1057" s="4">
        <f>Table1[[#This Row],[Life expectancy at birth, total (years) '[SP.DYN.LE00.IN']]]/Table1[[#This Row],[Current health expenditure per capita (current US$) '[SH.XPD.CHEX.PC.CD']]]*1000</f>
        <v>1888.794134452656</v>
      </c>
    </row>
    <row r="1058" spans="1:7" x14ac:dyDescent="0.25">
      <c r="A1058" s="5" t="s">
        <v>229</v>
      </c>
      <c r="B1058" s="6" t="s">
        <v>18</v>
      </c>
      <c r="C1058" s="5">
        <v>2019</v>
      </c>
      <c r="D1058" s="7">
        <v>31.408948899999999</v>
      </c>
      <c r="E1058" s="11">
        <v>59.216999999999999</v>
      </c>
      <c r="F1058" s="10">
        <f>Table1[[#This Row],[Life expectancy at birth, total (years) '[SP.DYN.LE00.IN']]]/Table1[[#This Row],[Current health expenditure per capita (current US$) '[SH.XPD.CHEX.PC.CD']]]</f>
        <v>1.8853543997456088</v>
      </c>
      <c r="G1058" s="4">
        <f>Table1[[#This Row],[Life expectancy at birth, total (years) '[SP.DYN.LE00.IN']]]/Table1[[#This Row],[Current health expenditure per capita (current US$) '[SH.XPD.CHEX.PC.CD']]]*1000</f>
        <v>1885.3543997456088</v>
      </c>
    </row>
    <row r="1059" spans="1:7" x14ac:dyDescent="0.25">
      <c r="A1059" s="5" t="s">
        <v>229</v>
      </c>
      <c r="B1059" s="6" t="s">
        <v>18</v>
      </c>
      <c r="C1059" s="5">
        <v>2020</v>
      </c>
      <c r="D1059" s="7">
        <v>28.202116010000001</v>
      </c>
      <c r="E1059" s="11">
        <v>58.857999999999997</v>
      </c>
      <c r="F1059" s="10">
        <f>Table1[[#This Row],[Life expectancy at birth, total (years) '[SP.DYN.LE00.IN']]]/Table1[[#This Row],[Current health expenditure per capita (current US$) '[SH.XPD.CHEX.PC.CD']]]</f>
        <v>2.087006520330954</v>
      </c>
      <c r="G1059" s="4">
        <f>Table1[[#This Row],[Life expectancy at birth, total (years) '[SP.DYN.LE00.IN']]]/Table1[[#This Row],[Current health expenditure per capita (current US$) '[SH.XPD.CHEX.PC.CD']]]*1000</f>
        <v>2087.0065203309541</v>
      </c>
    </row>
    <row r="1060" spans="1:7" x14ac:dyDescent="0.25">
      <c r="A1060" s="5" t="s">
        <v>229</v>
      </c>
      <c r="B1060" s="6" t="s">
        <v>18</v>
      </c>
      <c r="C1060" s="5">
        <v>2021</v>
      </c>
      <c r="D1060" s="7">
        <v>30.558832169999999</v>
      </c>
      <c r="E1060" s="11">
        <v>59.116</v>
      </c>
      <c r="F1060" s="10">
        <f>Table1[[#This Row],[Life expectancy at birth, total (years) '[SP.DYN.LE00.IN']]]/Table1[[#This Row],[Current health expenditure per capita (current US$) '[SH.XPD.CHEX.PC.CD']]]</f>
        <v>1.9344980093197064</v>
      </c>
      <c r="G1060" s="4">
        <f>Table1[[#This Row],[Life expectancy at birth, total (years) '[SP.DYN.LE00.IN']]]/Table1[[#This Row],[Current health expenditure per capita (current US$) '[SH.XPD.CHEX.PC.CD']]]*1000</f>
        <v>1934.4980093197064</v>
      </c>
    </row>
    <row r="1061" spans="1:7" x14ac:dyDescent="0.25">
      <c r="A1061" s="5" t="s">
        <v>229</v>
      </c>
      <c r="B1061" s="6" t="s">
        <v>18</v>
      </c>
      <c r="C1061" s="5">
        <v>2022</v>
      </c>
      <c r="D1061" s="7">
        <v>31.0949192</v>
      </c>
      <c r="E1061" s="11">
        <v>60.034999999999997</v>
      </c>
      <c r="F1061" s="10">
        <f>Table1[[#This Row],[Life expectancy at birth, total (years) '[SP.DYN.LE00.IN']]]/Table1[[#This Row],[Current health expenditure per capita (current US$) '[SH.XPD.CHEX.PC.CD']]]</f>
        <v>1.9307012703220017</v>
      </c>
      <c r="G1061" s="4">
        <f>Table1[[#This Row],[Life expectancy at birth, total (years) '[SP.DYN.LE00.IN']]]/Table1[[#This Row],[Current health expenditure per capita (current US$) '[SH.XPD.CHEX.PC.CD']]]*1000</f>
        <v>1930.7012703220016</v>
      </c>
    </row>
    <row r="1062" spans="1:7" x14ac:dyDescent="0.25">
      <c r="A1062" s="5" t="s">
        <v>229</v>
      </c>
      <c r="B1062" s="6" t="s">
        <v>18</v>
      </c>
      <c r="C1062" s="5">
        <v>2023</v>
      </c>
      <c r="D1062" s="7">
        <v>33.980247499999997</v>
      </c>
      <c r="E1062" s="11">
        <v>60.439</v>
      </c>
      <c r="F1062" s="10">
        <f>Table1[[#This Row],[Life expectancy at birth, total (years) '[SP.DYN.LE00.IN']]]/Table1[[#This Row],[Current health expenditure per capita (current US$) '[SH.XPD.CHEX.PC.CD']]]</f>
        <v>1.7786509647994766</v>
      </c>
      <c r="G1062" s="4">
        <f>Table1[[#This Row],[Life expectancy at birth, total (years) '[SP.DYN.LE00.IN']]]/Table1[[#This Row],[Current health expenditure per capita (current US$) '[SH.XPD.CHEX.PC.CD']]]*1000</f>
        <v>1778.6509647994767</v>
      </c>
    </row>
    <row r="1063" spans="1:7" hidden="1" x14ac:dyDescent="0.25">
      <c r="B1063" s="1"/>
      <c r="D1063" s="3"/>
      <c r="E1063"/>
      <c r="F1063" t="e">
        <f>Table1[[#This Row],[Life expectancy at birth, total (years) '[SP.DYN.LE00.IN']]]/Table1[[#This Row],[Current health expenditure per capita (current US$) '[SH.XPD.CHEX.PC.CD']]]</f>
        <v>#DIV/0!</v>
      </c>
      <c r="G1063" s="2" t="e">
        <f>Table1[[#This Row],[Life expectancy at birth, total (years) '[SP.DYN.LE00.IN']]]/Table1[[#This Row],[Current health expenditure per capita (current US$) '[SH.XPD.CHEX.PC.CD']]]*1000</f>
        <v>#DIV/0!</v>
      </c>
    </row>
    <row r="1064" spans="1:7" x14ac:dyDescent="0.25">
      <c r="A1064" s="5" t="s">
        <v>179</v>
      </c>
      <c r="B1064" s="6" t="s">
        <v>66</v>
      </c>
      <c r="C1064" s="5">
        <v>2015</v>
      </c>
      <c r="D1064" s="7">
        <v>2249.0046386700001</v>
      </c>
      <c r="E1064" s="11">
        <v>81.89756097560975</v>
      </c>
      <c r="F1064" s="10">
        <f>Table1[[#This Row],[Life expectancy at birth, total (years) '[SP.DYN.LE00.IN']]]/Table1[[#This Row],[Current health expenditure per capita (current US$) '[SH.XPD.CHEX.PC.CD']]]</f>
        <v>3.6415025370530908E-2</v>
      </c>
      <c r="G1064" s="4">
        <f>Table1[[#This Row],[Life expectancy at birth, total (years) '[SP.DYN.LE00.IN']]]/Table1[[#This Row],[Current health expenditure per capita (current US$) '[SH.XPD.CHEX.PC.CD']]]*1000</f>
        <v>36.415025370530905</v>
      </c>
    </row>
    <row r="1065" spans="1:7" x14ac:dyDescent="0.25">
      <c r="A1065" s="5" t="s">
        <v>179</v>
      </c>
      <c r="B1065" s="6" t="s">
        <v>66</v>
      </c>
      <c r="C1065" s="5">
        <v>2016</v>
      </c>
      <c r="D1065" s="7">
        <v>2326.6701660200001</v>
      </c>
      <c r="E1065" s="11">
        <v>82.45365853658538</v>
      </c>
      <c r="F1065" s="10">
        <f>Table1[[#This Row],[Life expectancy at birth, total (years) '[SP.DYN.LE00.IN']]]/Table1[[#This Row],[Current health expenditure per capita (current US$) '[SH.XPD.CHEX.PC.CD']]]</f>
        <v>3.5438481887456588E-2</v>
      </c>
      <c r="G1065" s="4">
        <f>Table1[[#This Row],[Life expectancy at birth, total (years) '[SP.DYN.LE00.IN']]]/Table1[[#This Row],[Current health expenditure per capita (current US$) '[SH.XPD.CHEX.PC.CD']]]*1000</f>
        <v>35.438481887456589</v>
      </c>
    </row>
    <row r="1066" spans="1:7" x14ac:dyDescent="0.25">
      <c r="A1066" s="5" t="s">
        <v>179</v>
      </c>
      <c r="B1066" s="6" t="s">
        <v>66</v>
      </c>
      <c r="C1066" s="5">
        <v>2017</v>
      </c>
      <c r="D1066" s="7">
        <v>2562.8857421900002</v>
      </c>
      <c r="E1066" s="11">
        <v>82.346341463414646</v>
      </c>
      <c r="F1066" s="10">
        <f>Table1[[#This Row],[Life expectancy at birth, total (years) '[SP.DYN.LE00.IN']]]/Table1[[#This Row],[Current health expenditure per capita (current US$) '[SH.XPD.CHEX.PC.CD']]]</f>
        <v>3.2130320953383286E-2</v>
      </c>
      <c r="G1066" s="4">
        <f>Table1[[#This Row],[Life expectancy at birth, total (years) '[SP.DYN.LE00.IN']]]/Table1[[#This Row],[Current health expenditure per capita (current US$) '[SH.XPD.CHEX.PC.CD']]]*1000</f>
        <v>32.130320953383283</v>
      </c>
    </row>
    <row r="1067" spans="1:7" x14ac:dyDescent="0.25">
      <c r="A1067" s="5" t="s">
        <v>179</v>
      </c>
      <c r="B1067" s="6" t="s">
        <v>66</v>
      </c>
      <c r="C1067" s="5">
        <v>2018</v>
      </c>
      <c r="D1067" s="7">
        <v>2759.9118652299999</v>
      </c>
      <c r="E1067" s="11">
        <v>82.248780487804893</v>
      </c>
      <c r="F1067" s="10">
        <f>Table1[[#This Row],[Life expectancy at birth, total (years) '[SP.DYN.LE00.IN']]]/Table1[[#This Row],[Current health expenditure per capita (current US$) '[SH.XPD.CHEX.PC.CD']]]</f>
        <v>2.9801234424908209E-2</v>
      </c>
      <c r="G1067" s="4">
        <f>Table1[[#This Row],[Life expectancy at birth, total (years) '[SP.DYN.LE00.IN']]]/Table1[[#This Row],[Current health expenditure per capita (current US$) '[SH.XPD.CHEX.PC.CD']]]*1000</f>
        <v>29.801234424908209</v>
      </c>
    </row>
    <row r="1068" spans="1:7" x14ac:dyDescent="0.25">
      <c r="A1068" s="5" t="s">
        <v>179</v>
      </c>
      <c r="B1068" s="6" t="s">
        <v>66</v>
      </c>
      <c r="C1068" s="5">
        <v>2019</v>
      </c>
      <c r="D1068" s="7">
        <v>2947.2402343799999</v>
      </c>
      <c r="E1068" s="11">
        <v>82.658536585365852</v>
      </c>
      <c r="F1068" s="10">
        <f>Table1[[#This Row],[Life expectancy at birth, total (years) '[SP.DYN.LE00.IN']]]/Table1[[#This Row],[Current health expenditure per capita (current US$) '[SH.XPD.CHEX.PC.CD']]]</f>
        <v>2.8046080404692364E-2</v>
      </c>
      <c r="G1068" s="4">
        <f>Table1[[#This Row],[Life expectancy at birth, total (years) '[SP.DYN.LE00.IN']]]/Table1[[#This Row],[Current health expenditure per capita (current US$) '[SH.XPD.CHEX.PC.CD']]]*1000</f>
        <v>28.046080404692365</v>
      </c>
    </row>
    <row r="1069" spans="1:7" x14ac:dyDescent="0.25">
      <c r="A1069" s="5" t="s">
        <v>179</v>
      </c>
      <c r="B1069" s="6" t="s">
        <v>66</v>
      </c>
      <c r="C1069" s="5">
        <v>2020</v>
      </c>
      <c r="D1069" s="7">
        <v>3140.7702636700001</v>
      </c>
      <c r="E1069" s="11">
        <v>82.097560975609767</v>
      </c>
      <c r="F1069" s="10">
        <f>Table1[[#This Row],[Life expectancy at birth, total (years) '[SP.DYN.LE00.IN']]]/Table1[[#This Row],[Current health expenditure per capita (current US$) '[SH.XPD.CHEX.PC.CD']]]</f>
        <v>2.6139307903303474E-2</v>
      </c>
      <c r="G1069" s="4">
        <f>Table1[[#This Row],[Life expectancy at birth, total (years) '[SP.DYN.LE00.IN']]]/Table1[[#This Row],[Current health expenditure per capita (current US$) '[SH.XPD.CHEX.PC.CD']]]*1000</f>
        <v>26.139307903303475</v>
      </c>
    </row>
    <row r="1070" spans="1:7" x14ac:dyDescent="0.25">
      <c r="A1070" s="5" t="s">
        <v>179</v>
      </c>
      <c r="B1070" s="6" t="s">
        <v>66</v>
      </c>
      <c r="C1070" s="5">
        <v>2021</v>
      </c>
      <c r="D1070" s="7">
        <v>3641.0383300799999</v>
      </c>
      <c r="E1070" s="11">
        <v>82.25853658536586</v>
      </c>
      <c r="F1070" s="10">
        <f>Table1[[#This Row],[Life expectancy at birth, total (years) '[SP.DYN.LE00.IN']]]/Table1[[#This Row],[Current health expenditure per capita (current US$) '[SH.XPD.CHEX.PC.CD']]]</f>
        <v>2.2592054553723553E-2</v>
      </c>
      <c r="G1070" s="4">
        <f>Table1[[#This Row],[Life expectancy at birth, total (years) '[SP.DYN.LE00.IN']]]/Table1[[#This Row],[Current health expenditure per capita (current US$) '[SH.XPD.CHEX.PC.CD']]]*1000</f>
        <v>22.592054553723553</v>
      </c>
    </row>
    <row r="1071" spans="1:7" x14ac:dyDescent="0.25">
      <c r="A1071" s="5" t="s">
        <v>179</v>
      </c>
      <c r="B1071" s="6" t="s">
        <v>66</v>
      </c>
      <c r="C1071" s="5">
        <v>2022</v>
      </c>
      <c r="D1071" s="7">
        <v>3362.4238281299999</v>
      </c>
      <c r="E1071" s="11">
        <v>82.448780487804896</v>
      </c>
      <c r="F1071" s="10">
        <f>Table1[[#This Row],[Life expectancy at birth, total (years) '[SP.DYN.LE00.IN']]]/Table1[[#This Row],[Current health expenditure per capita (current US$) '[SH.XPD.CHEX.PC.CD']]]</f>
        <v>2.4520638890921282E-2</v>
      </c>
      <c r="G1071" s="4">
        <f>Table1[[#This Row],[Life expectancy at birth, total (years) '[SP.DYN.LE00.IN']]]/Table1[[#This Row],[Current health expenditure per capita (current US$) '[SH.XPD.CHEX.PC.CD']]]*1000</f>
        <v>24.520638890921283</v>
      </c>
    </row>
    <row r="1072" spans="1:7" x14ac:dyDescent="0.25">
      <c r="A1072" s="5" t="s">
        <v>179</v>
      </c>
      <c r="B1072" s="6" t="s">
        <v>66</v>
      </c>
      <c r="C1072" s="5">
        <v>2023</v>
      </c>
      <c r="D1072" s="7">
        <v>3623.4609375</v>
      </c>
      <c r="E1072" s="11">
        <v>83.507317073170739</v>
      </c>
      <c r="F1072" s="10">
        <f>Table1[[#This Row],[Life expectancy at birth, total (years) '[SP.DYN.LE00.IN']]]/Table1[[#This Row],[Current health expenditure per capita (current US$) '[SH.XPD.CHEX.PC.CD']]]</f>
        <v>2.3046285999370107E-2</v>
      </c>
      <c r="G1072" s="4">
        <f>Table1[[#This Row],[Life expectancy at birth, total (years) '[SP.DYN.LE00.IN']]]/Table1[[#This Row],[Current health expenditure per capita (current US$) '[SH.XPD.CHEX.PC.CD']]]*1000</f>
        <v>23.046285999370106</v>
      </c>
    </row>
    <row r="1073" spans="1:7" hidden="1" x14ac:dyDescent="0.25">
      <c r="B1073" s="1"/>
      <c r="D1073" s="3"/>
      <c r="E1073"/>
      <c r="F1073" t="e">
        <f>Table1[[#This Row],[Life expectancy at birth, total (years) '[SP.DYN.LE00.IN']]]/Table1[[#This Row],[Current health expenditure per capita (current US$) '[SH.XPD.CHEX.PC.CD']]]</f>
        <v>#DIV/0!</v>
      </c>
      <c r="G1073" s="2" t="e">
        <f>Table1[[#This Row],[Life expectancy at birth, total (years) '[SP.DYN.LE00.IN']]]/Table1[[#This Row],[Current health expenditure per capita (current US$) '[SH.XPD.CHEX.PC.CD']]]*1000</f>
        <v>#DIV/0!</v>
      </c>
    </row>
    <row r="1074" spans="1:7" x14ac:dyDescent="0.25">
      <c r="A1074" s="5" t="s">
        <v>59</v>
      </c>
      <c r="B1074" s="6" t="s">
        <v>377</v>
      </c>
      <c r="C1074" s="5">
        <v>2015</v>
      </c>
      <c r="D1074" s="7">
        <v>557.35211182</v>
      </c>
      <c r="E1074" s="11">
        <v>65.292000000000002</v>
      </c>
      <c r="F1074" s="10">
        <f>Table1[[#This Row],[Life expectancy at birth, total (years) '[SP.DYN.LE00.IN']]]/Table1[[#This Row],[Current health expenditure per capita (current US$) '[SH.XPD.CHEX.PC.CD']]]</f>
        <v>0.11714677062367787</v>
      </c>
      <c r="G1074" s="4">
        <f>Table1[[#This Row],[Life expectancy at birth, total (years) '[SP.DYN.LE00.IN']]]/Table1[[#This Row],[Current health expenditure per capita (current US$) '[SH.XPD.CHEX.PC.CD']]]*1000</f>
        <v>117.14677062367787</v>
      </c>
    </row>
    <row r="1075" spans="1:7" x14ac:dyDescent="0.25">
      <c r="A1075" s="5" t="s">
        <v>59</v>
      </c>
      <c r="B1075" s="6" t="s">
        <v>377</v>
      </c>
      <c r="C1075" s="5">
        <v>2016</v>
      </c>
      <c r="D1075" s="7">
        <v>619.35668944999998</v>
      </c>
      <c r="E1075" s="11">
        <v>65.477000000000004</v>
      </c>
      <c r="F1075" s="10">
        <f>Table1[[#This Row],[Life expectancy at birth, total (years) '[SP.DYN.LE00.IN']]]/Table1[[#This Row],[Current health expenditure per capita (current US$) '[SH.XPD.CHEX.PC.CD']]]</f>
        <v>0.10571775701356317</v>
      </c>
      <c r="G1075" s="4">
        <f>Table1[[#This Row],[Life expectancy at birth, total (years) '[SP.DYN.LE00.IN']]]/Table1[[#This Row],[Current health expenditure per capita (current US$) '[SH.XPD.CHEX.PC.CD']]]*1000</f>
        <v>105.71775701356317</v>
      </c>
    </row>
    <row r="1076" spans="1:7" x14ac:dyDescent="0.25">
      <c r="A1076" s="5" t="s">
        <v>59</v>
      </c>
      <c r="B1076" s="6" t="s">
        <v>377</v>
      </c>
      <c r="C1076" s="5">
        <v>2017</v>
      </c>
      <c r="D1076" s="7">
        <v>553.06298828000001</v>
      </c>
      <c r="E1076" s="11">
        <v>65.673000000000002</v>
      </c>
      <c r="F1076" s="10">
        <f>Table1[[#This Row],[Life expectancy at birth, total (years) '[SP.DYN.LE00.IN']]]/Table1[[#This Row],[Current health expenditure per capita (current US$) '[SH.XPD.CHEX.PC.CD']]]</f>
        <v>0.11874416005352294</v>
      </c>
      <c r="G1076" s="4">
        <f>Table1[[#This Row],[Life expectancy at birth, total (years) '[SP.DYN.LE00.IN']]]/Table1[[#This Row],[Current health expenditure per capita (current US$) '[SH.XPD.CHEX.PC.CD']]]*1000</f>
        <v>118.74416005352293</v>
      </c>
    </row>
    <row r="1077" spans="1:7" x14ac:dyDescent="0.25">
      <c r="A1077" s="5" t="s">
        <v>59</v>
      </c>
      <c r="B1077" s="6" t="s">
        <v>377</v>
      </c>
      <c r="C1077" s="5">
        <v>2018</v>
      </c>
      <c r="D1077" s="7">
        <v>702.8359375</v>
      </c>
      <c r="E1077" s="11">
        <v>65.87</v>
      </c>
      <c r="F1077" s="10">
        <f>Table1[[#This Row],[Life expectancy at birth, total (years) '[SP.DYN.LE00.IN']]]/Table1[[#This Row],[Current health expenditure per capita (current US$) '[SH.XPD.CHEX.PC.CD']]]</f>
        <v>9.3720307237419836E-2</v>
      </c>
      <c r="G1077" s="4">
        <f>Table1[[#This Row],[Life expectancy at birth, total (years) '[SP.DYN.LE00.IN']]]/Table1[[#This Row],[Current health expenditure per capita (current US$) '[SH.XPD.CHEX.PC.CD']]]*1000</f>
        <v>93.720307237419831</v>
      </c>
    </row>
    <row r="1078" spans="1:7" x14ac:dyDescent="0.25">
      <c r="A1078" s="5" t="s">
        <v>59</v>
      </c>
      <c r="B1078" s="6" t="s">
        <v>377</v>
      </c>
      <c r="C1078" s="5">
        <v>2019</v>
      </c>
      <c r="D1078" s="7">
        <v>793.66851807</v>
      </c>
      <c r="E1078" s="11">
        <v>66.046999999999997</v>
      </c>
      <c r="F1078" s="10">
        <f>Table1[[#This Row],[Life expectancy at birth, total (years) '[SP.DYN.LE00.IN']]]/Table1[[#This Row],[Current health expenditure per capita (current US$) '[SH.XPD.CHEX.PC.CD']]]</f>
        <v>8.3217361525954825E-2</v>
      </c>
      <c r="G1078" s="4">
        <f>Table1[[#This Row],[Life expectancy at birth, total (years) '[SP.DYN.LE00.IN']]]/Table1[[#This Row],[Current health expenditure per capita (current US$) '[SH.XPD.CHEX.PC.CD']]]*1000</f>
        <v>83.217361525954828</v>
      </c>
    </row>
    <row r="1079" spans="1:7" x14ac:dyDescent="0.25">
      <c r="A1079" s="5" t="s">
        <v>59</v>
      </c>
      <c r="B1079" s="6" t="s">
        <v>377</v>
      </c>
      <c r="C1079" s="5">
        <v>2020</v>
      </c>
      <c r="D1079" s="7">
        <v>687.02435303000004</v>
      </c>
      <c r="E1079" s="11">
        <v>65.387</v>
      </c>
      <c r="F1079" s="10">
        <f>Table1[[#This Row],[Life expectancy at birth, total (years) '[SP.DYN.LE00.IN']]]/Table1[[#This Row],[Current health expenditure per capita (current US$) '[SH.XPD.CHEX.PC.CD']]]</f>
        <v>9.5174209926652736E-2</v>
      </c>
      <c r="G1079" s="4">
        <f>Table1[[#This Row],[Life expectancy at birth, total (years) '[SP.DYN.LE00.IN']]]/Table1[[#This Row],[Current health expenditure per capita (current US$) '[SH.XPD.CHEX.PC.CD']]]*1000</f>
        <v>95.174209926652736</v>
      </c>
    </row>
    <row r="1080" spans="1:7" x14ac:dyDescent="0.25">
      <c r="A1080" s="5" t="s">
        <v>59</v>
      </c>
      <c r="B1080" s="6" t="s">
        <v>377</v>
      </c>
      <c r="C1080" s="5">
        <v>2021</v>
      </c>
      <c r="D1080" s="7">
        <v>782.16351318</v>
      </c>
      <c r="E1080" s="11">
        <v>65.421000000000006</v>
      </c>
      <c r="F1080" s="10">
        <f>Table1[[#This Row],[Life expectancy at birth, total (years) '[SP.DYN.LE00.IN']]]/Table1[[#This Row],[Current health expenditure per capita (current US$) '[SH.XPD.CHEX.PC.CD']]]</f>
        <v>8.3641078748382641E-2</v>
      </c>
      <c r="G1080" s="4">
        <f>Table1[[#This Row],[Life expectancy at birth, total (years) '[SP.DYN.LE00.IN']]]/Table1[[#This Row],[Current health expenditure per capita (current US$) '[SH.XPD.CHEX.PC.CD']]]*1000</f>
        <v>83.64107874838264</v>
      </c>
    </row>
    <row r="1081" spans="1:7" x14ac:dyDescent="0.25">
      <c r="A1081" s="5" t="s">
        <v>59</v>
      </c>
      <c r="B1081" s="6" t="s">
        <v>377</v>
      </c>
      <c r="C1081" s="5">
        <v>2022</v>
      </c>
      <c r="D1081" s="7">
        <v>859.05035399999997</v>
      </c>
      <c r="E1081" s="11">
        <v>66.724999999999994</v>
      </c>
      <c r="F1081" s="10">
        <f>Table1[[#This Row],[Life expectancy at birth, total (years) '[SP.DYN.LE00.IN']]]/Table1[[#This Row],[Current health expenditure per capita (current US$) '[SH.XPD.CHEX.PC.CD']]]</f>
        <v>7.7672978876393073E-2</v>
      </c>
      <c r="G1081" s="4">
        <f>Table1[[#This Row],[Life expectancy at birth, total (years) '[SP.DYN.LE00.IN']]]/Table1[[#This Row],[Current health expenditure per capita (current US$) '[SH.XPD.CHEX.PC.CD']]]*1000</f>
        <v>77.672978876393074</v>
      </c>
    </row>
    <row r="1082" spans="1:7" x14ac:dyDescent="0.25">
      <c r="A1082" s="5" t="s">
        <v>59</v>
      </c>
      <c r="B1082" s="6" t="s">
        <v>377</v>
      </c>
      <c r="C1082" s="5">
        <v>2023</v>
      </c>
      <c r="D1082" s="7">
        <v>894.21533203000001</v>
      </c>
      <c r="E1082" s="11">
        <v>66.944999999999993</v>
      </c>
      <c r="F1082" s="10">
        <f>Table1[[#This Row],[Life expectancy at birth, total (years) '[SP.DYN.LE00.IN']]]/Table1[[#This Row],[Current health expenditure per capita (current US$) '[SH.XPD.CHEX.PC.CD']]]</f>
        <v>7.4864518200582653E-2</v>
      </c>
      <c r="G1082" s="4">
        <f>Table1[[#This Row],[Life expectancy at birth, total (years) '[SP.DYN.LE00.IN']]]/Table1[[#This Row],[Current health expenditure per capita (current US$) '[SH.XPD.CHEX.PC.CD']]]*1000</f>
        <v>74.864518200582651</v>
      </c>
    </row>
    <row r="1083" spans="1:7" hidden="1" x14ac:dyDescent="0.25">
      <c r="B1083" s="1"/>
      <c r="D1083" s="3"/>
      <c r="E1083"/>
      <c r="F1083" t="e">
        <f>Table1[[#This Row],[Life expectancy at birth, total (years) '[SP.DYN.LE00.IN']]]/Table1[[#This Row],[Current health expenditure per capita (current US$) '[SH.XPD.CHEX.PC.CD']]]</f>
        <v>#DIV/0!</v>
      </c>
      <c r="G1083" s="2" t="e">
        <f>Table1[[#This Row],[Life expectancy at birth, total (years) '[SP.DYN.LE00.IN']]]/Table1[[#This Row],[Current health expenditure per capita (current US$) '[SH.XPD.CHEX.PC.CD']]]*1000</f>
        <v>#DIV/0!</v>
      </c>
    </row>
    <row r="1084" spans="1:7" x14ac:dyDescent="0.25">
      <c r="A1084" s="5" t="s">
        <v>243</v>
      </c>
      <c r="B1084" s="6" t="s">
        <v>9</v>
      </c>
      <c r="C1084" s="5">
        <v>2015</v>
      </c>
      <c r="D1084" s="7">
        <v>57.123313899999999</v>
      </c>
      <c r="E1084" s="11">
        <v>66.498000000000005</v>
      </c>
      <c r="F1084" s="10">
        <f>Table1[[#This Row],[Life expectancy at birth, total (years) '[SP.DYN.LE00.IN']]]/Table1[[#This Row],[Current health expenditure per capita (current US$) '[SH.XPD.CHEX.PC.CD']]]</f>
        <v>1.1641131345497797</v>
      </c>
      <c r="G1084" s="4">
        <f>Table1[[#This Row],[Life expectancy at birth, total (years) '[SP.DYN.LE00.IN']]]/Table1[[#This Row],[Current health expenditure per capita (current US$) '[SH.XPD.CHEX.PC.CD']]]*1000</f>
        <v>1164.1131345497797</v>
      </c>
    </row>
    <row r="1085" spans="1:7" x14ac:dyDescent="0.25">
      <c r="A1085" s="5" t="s">
        <v>243</v>
      </c>
      <c r="B1085" s="6" t="s">
        <v>9</v>
      </c>
      <c r="C1085" s="5">
        <v>2016</v>
      </c>
      <c r="D1085" s="7">
        <v>49.900840760000001</v>
      </c>
      <c r="E1085" s="11">
        <v>66.822999999999993</v>
      </c>
      <c r="F1085" s="10">
        <f>Table1[[#This Row],[Life expectancy at birth, total (years) '[SP.DYN.LE00.IN']]]/Table1[[#This Row],[Current health expenditure per capita (current US$) '[SH.XPD.CHEX.PC.CD']]]</f>
        <v>1.3391157139293055</v>
      </c>
      <c r="G1085" s="4">
        <f>Table1[[#This Row],[Life expectancy at birth, total (years) '[SP.DYN.LE00.IN']]]/Table1[[#This Row],[Current health expenditure per capita (current US$) '[SH.XPD.CHEX.PC.CD']]]*1000</f>
        <v>1339.1157139293055</v>
      </c>
    </row>
    <row r="1086" spans="1:7" x14ac:dyDescent="0.25">
      <c r="A1086" s="5" t="s">
        <v>243</v>
      </c>
      <c r="B1086" s="6" t="s">
        <v>9</v>
      </c>
      <c r="C1086" s="5">
        <v>2017</v>
      </c>
      <c r="D1086" s="7">
        <v>55.224464419999997</v>
      </c>
      <c r="E1086" s="11">
        <v>67.087999999999994</v>
      </c>
      <c r="F1086" s="10">
        <f>Table1[[#This Row],[Life expectancy at birth, total (years) '[SP.DYN.LE00.IN']]]/Table1[[#This Row],[Current health expenditure per capita (current US$) '[SH.XPD.CHEX.PC.CD']]]</f>
        <v>1.2148239137237069</v>
      </c>
      <c r="G1086" s="4">
        <f>Table1[[#This Row],[Life expectancy at birth, total (years) '[SP.DYN.LE00.IN']]]/Table1[[#This Row],[Current health expenditure per capita (current US$) '[SH.XPD.CHEX.PC.CD']]]*1000</f>
        <v>1214.8239137237069</v>
      </c>
    </row>
    <row r="1087" spans="1:7" x14ac:dyDescent="0.25">
      <c r="A1087" s="5" t="s">
        <v>243</v>
      </c>
      <c r="B1087" s="6" t="s">
        <v>9</v>
      </c>
      <c r="C1087" s="5">
        <v>2018</v>
      </c>
      <c r="D1087" s="7">
        <v>49.683074949999998</v>
      </c>
      <c r="E1087" s="11">
        <v>67.418999999999997</v>
      </c>
      <c r="F1087" s="10">
        <f>Table1[[#This Row],[Life expectancy at birth, total (years) '[SP.DYN.LE00.IN']]]/Table1[[#This Row],[Current health expenditure per capita (current US$) '[SH.XPD.CHEX.PC.CD']]]</f>
        <v>1.3569812268634551</v>
      </c>
      <c r="G1087" s="4">
        <f>Table1[[#This Row],[Life expectancy at birth, total (years) '[SP.DYN.LE00.IN']]]/Table1[[#This Row],[Current health expenditure per capita (current US$) '[SH.XPD.CHEX.PC.CD']]]*1000</f>
        <v>1356.981226863455</v>
      </c>
    </row>
    <row r="1088" spans="1:7" x14ac:dyDescent="0.25">
      <c r="A1088" s="5" t="s">
        <v>243</v>
      </c>
      <c r="B1088" s="6" t="s">
        <v>9</v>
      </c>
      <c r="C1088" s="5">
        <v>2019</v>
      </c>
      <c r="D1088" s="7">
        <v>54.63365555</v>
      </c>
      <c r="E1088" s="11">
        <v>67.64</v>
      </c>
      <c r="F1088" s="10">
        <f>Table1[[#This Row],[Life expectancy at birth, total (years) '[SP.DYN.LE00.IN']]]/Table1[[#This Row],[Current health expenditure per capita (current US$) '[SH.XPD.CHEX.PC.CD']]]</f>
        <v>1.2380646932566459</v>
      </c>
      <c r="G1088" s="4">
        <f>Table1[[#This Row],[Life expectancy at birth, total (years) '[SP.DYN.LE00.IN']]]/Table1[[#This Row],[Current health expenditure per capita (current US$) '[SH.XPD.CHEX.PC.CD']]]*1000</f>
        <v>1238.064693256646</v>
      </c>
    </row>
    <row r="1089" spans="1:7" x14ac:dyDescent="0.25">
      <c r="A1089" s="5" t="s">
        <v>243</v>
      </c>
      <c r="B1089" s="6" t="s">
        <v>9</v>
      </c>
      <c r="C1089" s="5">
        <v>2020</v>
      </c>
      <c r="D1089" s="7">
        <v>53.899745940000003</v>
      </c>
      <c r="E1089" s="11">
        <v>66.793999999999997</v>
      </c>
      <c r="F1089" s="10">
        <f>Table1[[#This Row],[Life expectancy at birth, total (years) '[SP.DYN.LE00.IN']]]/Table1[[#This Row],[Current health expenditure per capita (current US$) '[SH.XPD.CHEX.PC.CD']]]</f>
        <v>1.2392266203694835</v>
      </c>
      <c r="G1089" s="4">
        <f>Table1[[#This Row],[Life expectancy at birth, total (years) '[SP.DYN.LE00.IN']]]/Table1[[#This Row],[Current health expenditure per capita (current US$) '[SH.XPD.CHEX.PC.CD']]]*1000</f>
        <v>1239.2266203694835</v>
      </c>
    </row>
    <row r="1090" spans="1:7" x14ac:dyDescent="0.25">
      <c r="A1090" s="5" t="s">
        <v>243</v>
      </c>
      <c r="B1090" s="6" t="s">
        <v>9</v>
      </c>
      <c r="C1090" s="5">
        <v>2021</v>
      </c>
      <c r="D1090" s="7">
        <v>73.630943299999998</v>
      </c>
      <c r="E1090" s="11">
        <v>66.762</v>
      </c>
      <c r="F1090" s="10">
        <f>Table1[[#This Row],[Life expectancy at birth, total (years) '[SP.DYN.LE00.IN']]]/Table1[[#This Row],[Current health expenditure per capita (current US$) '[SH.XPD.CHEX.PC.CD']]]</f>
        <v>0.90671118700716147</v>
      </c>
      <c r="G1090" s="4">
        <f>Table1[[#This Row],[Life expectancy at birth, total (years) '[SP.DYN.LE00.IN']]]/Table1[[#This Row],[Current health expenditure per capita (current US$) '[SH.XPD.CHEX.PC.CD']]]*1000</f>
        <v>906.71118700716147</v>
      </c>
    </row>
    <row r="1091" spans="1:7" x14ac:dyDescent="0.25">
      <c r="A1091" s="5" t="s">
        <v>243</v>
      </c>
      <c r="B1091" s="6" t="s">
        <v>9</v>
      </c>
      <c r="C1091" s="5">
        <v>2022</v>
      </c>
      <c r="D1091" s="7">
        <v>91.541259769999996</v>
      </c>
      <c r="E1091" s="11">
        <v>68.281000000000006</v>
      </c>
      <c r="F1091" s="10">
        <f>Table1[[#This Row],[Life expectancy at birth, total (years) '[SP.DYN.LE00.IN']]]/Table1[[#This Row],[Current health expenditure per capita (current US$) '[SH.XPD.CHEX.PC.CD']]]</f>
        <v>0.74590408927687857</v>
      </c>
      <c r="G1091" s="4">
        <f>Table1[[#This Row],[Life expectancy at birth, total (years) '[SP.DYN.LE00.IN']]]/Table1[[#This Row],[Current health expenditure per capita (current US$) '[SH.XPD.CHEX.PC.CD']]]*1000</f>
        <v>745.90408927687861</v>
      </c>
    </row>
    <row r="1092" spans="1:7" x14ac:dyDescent="0.25">
      <c r="A1092" s="5" t="s">
        <v>243</v>
      </c>
      <c r="B1092" s="6" t="s">
        <v>9</v>
      </c>
      <c r="C1092" s="5">
        <v>2023</v>
      </c>
      <c r="D1092" s="7">
        <v>92.114440920000007</v>
      </c>
      <c r="E1092" s="11">
        <v>68.483999999999995</v>
      </c>
      <c r="F1092" s="10">
        <f>Table1[[#This Row],[Life expectancy at birth, total (years) '[SP.DYN.LE00.IN']]]/Table1[[#This Row],[Current health expenditure per capita (current US$) '[SH.XPD.CHEX.PC.CD']]]</f>
        <v>0.7434664892497943</v>
      </c>
      <c r="G1092" s="4">
        <f>Table1[[#This Row],[Life expectancy at birth, total (years) '[SP.DYN.LE00.IN']]]/Table1[[#This Row],[Current health expenditure per capita (current US$) '[SH.XPD.CHEX.PC.CD']]]*1000</f>
        <v>743.46648924979434</v>
      </c>
    </row>
    <row r="1093" spans="1:7" hidden="1" x14ac:dyDescent="0.25">
      <c r="B1093" s="1"/>
      <c r="D1093" s="3"/>
      <c r="E1093"/>
      <c r="F1093" t="e">
        <f>Table1[[#This Row],[Life expectancy at birth, total (years) '[SP.DYN.LE00.IN']]]/Table1[[#This Row],[Current health expenditure per capita (current US$) '[SH.XPD.CHEX.PC.CD']]]</f>
        <v>#DIV/0!</v>
      </c>
      <c r="G1093" s="2" t="e">
        <f>Table1[[#This Row],[Life expectancy at birth, total (years) '[SP.DYN.LE00.IN']]]/Table1[[#This Row],[Current health expenditure per capita (current US$) '[SH.XPD.CHEX.PC.CD']]]*1000</f>
        <v>#DIV/0!</v>
      </c>
    </row>
    <row r="1094" spans="1:7" x14ac:dyDescent="0.25">
      <c r="A1094" s="5" t="s">
        <v>390</v>
      </c>
      <c r="B1094" s="6" t="s">
        <v>226</v>
      </c>
      <c r="C1094" s="5">
        <v>2015</v>
      </c>
      <c r="D1094" s="7">
        <v>515.72247314000003</v>
      </c>
      <c r="E1094" s="11">
        <v>74.353170731707323</v>
      </c>
      <c r="F1094" s="10">
        <f>Table1[[#This Row],[Life expectancy at birth, total (years) '[SP.DYN.LE00.IN']]]/Table1[[#This Row],[Current health expenditure per capita (current US$) '[SH.XPD.CHEX.PC.CD']]]</f>
        <v>0.14417283442973625</v>
      </c>
      <c r="G1094" s="4">
        <f>Table1[[#This Row],[Life expectancy at birth, total (years) '[SP.DYN.LE00.IN']]]/Table1[[#This Row],[Current health expenditure per capita (current US$) '[SH.XPD.CHEX.PC.CD']]]*1000</f>
        <v>144.17283442973624</v>
      </c>
    </row>
    <row r="1095" spans="1:7" x14ac:dyDescent="0.25">
      <c r="A1095" s="5" t="s">
        <v>390</v>
      </c>
      <c r="B1095" s="6" t="s">
        <v>226</v>
      </c>
      <c r="C1095" s="5">
        <v>2016</v>
      </c>
      <c r="D1095" s="7">
        <v>540.39239501999998</v>
      </c>
      <c r="E1095" s="11">
        <v>74.394878048780498</v>
      </c>
      <c r="F1095" s="10">
        <f>Table1[[#This Row],[Life expectancy at birth, total (years) '[SP.DYN.LE00.IN']]]/Table1[[#This Row],[Current health expenditure per capita (current US$) '[SH.XPD.CHEX.PC.CD']]]</f>
        <v>0.13766825502055249</v>
      </c>
      <c r="G1095" s="4">
        <f>Table1[[#This Row],[Life expectancy at birth, total (years) '[SP.DYN.LE00.IN']]]/Table1[[#This Row],[Current health expenditure per capita (current US$) '[SH.XPD.CHEX.PC.CD']]]*1000</f>
        <v>137.66825502055249</v>
      </c>
    </row>
    <row r="1096" spans="1:7" x14ac:dyDescent="0.25">
      <c r="A1096" s="5" t="s">
        <v>390</v>
      </c>
      <c r="B1096" s="6" t="s">
        <v>226</v>
      </c>
      <c r="C1096" s="5">
        <v>2017</v>
      </c>
      <c r="D1096" s="7">
        <v>594.86120604999996</v>
      </c>
      <c r="E1096" s="11">
        <v>74.514634146341464</v>
      </c>
      <c r="F1096" s="10">
        <f>Table1[[#This Row],[Life expectancy at birth, total (years) '[SP.DYN.LE00.IN']]]/Table1[[#This Row],[Current health expenditure per capita (current US$) '[SH.XPD.CHEX.PC.CD']]]</f>
        <v>0.12526389918941574</v>
      </c>
      <c r="G1096" s="4">
        <f>Table1[[#This Row],[Life expectancy at birth, total (years) '[SP.DYN.LE00.IN']]]/Table1[[#This Row],[Current health expenditure per capita (current US$) '[SH.XPD.CHEX.PC.CD']]]*1000</f>
        <v>125.26389918941574</v>
      </c>
    </row>
    <row r="1097" spans="1:7" x14ac:dyDescent="0.25">
      <c r="A1097" s="5" t="s">
        <v>390</v>
      </c>
      <c r="B1097" s="6" t="s">
        <v>226</v>
      </c>
      <c r="C1097" s="5">
        <v>2018</v>
      </c>
      <c r="D1097" s="7">
        <v>640.62182616999996</v>
      </c>
      <c r="E1097" s="11">
        <v>74.416341463414639</v>
      </c>
      <c r="F1097" s="10">
        <f>Table1[[#This Row],[Life expectancy at birth, total (years) '[SP.DYN.LE00.IN']]]/Table1[[#This Row],[Current health expenditure per capita (current US$) '[SH.XPD.CHEX.PC.CD']]]</f>
        <v>0.1161626694930419</v>
      </c>
      <c r="G1097" s="4">
        <f>Table1[[#This Row],[Life expectancy at birth, total (years) '[SP.DYN.LE00.IN']]]/Table1[[#This Row],[Current health expenditure per capita (current US$) '[SH.XPD.CHEX.PC.CD']]]*1000</f>
        <v>116.16266949304189</v>
      </c>
    </row>
    <row r="1098" spans="1:7" x14ac:dyDescent="0.25">
      <c r="A1098" s="5" t="s">
        <v>390</v>
      </c>
      <c r="B1098" s="6" t="s">
        <v>226</v>
      </c>
      <c r="C1098" s="5">
        <v>2019</v>
      </c>
      <c r="D1098" s="7">
        <v>639.18286133000004</v>
      </c>
      <c r="E1098" s="11">
        <v>74.235853658536584</v>
      </c>
      <c r="F1098" s="10">
        <f>Table1[[#This Row],[Life expectancy at birth, total (years) '[SP.DYN.LE00.IN']]]/Table1[[#This Row],[Current health expenditure per capita (current US$) '[SH.XPD.CHEX.PC.CD']]]</f>
        <v>0.11614180878390258</v>
      </c>
      <c r="G1098" s="4">
        <f>Table1[[#This Row],[Life expectancy at birth, total (years) '[SP.DYN.LE00.IN']]]/Table1[[#This Row],[Current health expenditure per capita (current US$) '[SH.XPD.CHEX.PC.CD']]]*1000</f>
        <v>116.14180878390258</v>
      </c>
    </row>
    <row r="1099" spans="1:7" x14ac:dyDescent="0.25">
      <c r="A1099" s="5" t="s">
        <v>390</v>
      </c>
      <c r="B1099" s="6" t="s">
        <v>226</v>
      </c>
      <c r="C1099" s="5">
        <v>2020</v>
      </c>
      <c r="D1099" s="7">
        <v>541.95184326000003</v>
      </c>
      <c r="E1099" s="11">
        <v>74.177073170731703</v>
      </c>
      <c r="F1099" s="10">
        <f>Table1[[#This Row],[Life expectancy at birth, total (years) '[SP.DYN.LE00.IN']]]/Table1[[#This Row],[Current health expenditure per capita (current US$) '[SH.XPD.CHEX.PC.CD']]]</f>
        <v>0.13687022951067893</v>
      </c>
      <c r="G1099" s="4">
        <f>Table1[[#This Row],[Life expectancy at birth, total (years) '[SP.DYN.LE00.IN']]]/Table1[[#This Row],[Current health expenditure per capita (current US$) '[SH.XPD.CHEX.PC.CD']]]*1000</f>
        <v>136.87022951067894</v>
      </c>
    </row>
    <row r="1100" spans="1:7" x14ac:dyDescent="0.25">
      <c r="A1100" s="5" t="s">
        <v>390</v>
      </c>
      <c r="B1100" s="6" t="s">
        <v>226</v>
      </c>
      <c r="C1100" s="5">
        <v>2021</v>
      </c>
      <c r="D1100" s="7">
        <v>593.77947998000002</v>
      </c>
      <c r="E1100" s="11">
        <v>73.680243902439031</v>
      </c>
      <c r="F1100" s="10">
        <f>Table1[[#This Row],[Life expectancy at birth, total (years) '[SP.DYN.LE00.IN']]]/Table1[[#This Row],[Current health expenditure per capita (current US$) '[SH.XPD.CHEX.PC.CD']]]</f>
        <v>0.12408688138721258</v>
      </c>
      <c r="G1100" s="4">
        <f>Table1[[#This Row],[Life expectancy at birth, total (years) '[SP.DYN.LE00.IN']]]/Table1[[#This Row],[Current health expenditure per capita (current US$) '[SH.XPD.CHEX.PC.CD']]]*1000</f>
        <v>124.08688138721257</v>
      </c>
    </row>
    <row r="1101" spans="1:7" x14ac:dyDescent="0.25">
      <c r="A1101" s="5" t="s">
        <v>390</v>
      </c>
      <c r="B1101" s="6" t="s">
        <v>226</v>
      </c>
      <c r="C1101" s="5">
        <v>2022</v>
      </c>
      <c r="D1101" s="7">
        <v>590.91522216999999</v>
      </c>
      <c r="E1101" s="11">
        <v>73.514634146341464</v>
      </c>
      <c r="F1101" s="10">
        <f>Table1[[#This Row],[Life expectancy at birth, total (years) '[SP.DYN.LE00.IN']]]/Table1[[#This Row],[Current health expenditure per capita (current US$) '[SH.XPD.CHEX.PC.CD']]]</f>
        <v>0.12440809000718565</v>
      </c>
      <c r="G1101" s="4">
        <f>Table1[[#This Row],[Life expectancy at birth, total (years) '[SP.DYN.LE00.IN']]]/Table1[[#This Row],[Current health expenditure per capita (current US$) '[SH.XPD.CHEX.PC.CD']]]*1000</f>
        <v>124.40809000718565</v>
      </c>
    </row>
    <row r="1102" spans="1:7" x14ac:dyDescent="0.25">
      <c r="A1102" s="5" t="s">
        <v>390</v>
      </c>
      <c r="B1102" s="6" t="s">
        <v>226</v>
      </c>
      <c r="C1102" s="5">
        <v>2023</v>
      </c>
      <c r="D1102" s="7">
        <v>616.20739746000004</v>
      </c>
      <c r="E1102" s="11">
        <v>73.412195121951228</v>
      </c>
      <c r="F1102" s="10">
        <f>Table1[[#This Row],[Life expectancy at birth, total (years) '[SP.DYN.LE00.IN']]]/Table1[[#This Row],[Current health expenditure per capita (current US$) '[SH.XPD.CHEX.PC.CD']]]</f>
        <v>0.11913553038239312</v>
      </c>
      <c r="G1102" s="4">
        <f>Table1[[#This Row],[Life expectancy at birth, total (years) '[SP.DYN.LE00.IN']]]/Table1[[#This Row],[Current health expenditure per capita (current US$) '[SH.XPD.CHEX.PC.CD']]]*1000</f>
        <v>119.13553038239311</v>
      </c>
    </row>
    <row r="1103" spans="1:7" hidden="1" x14ac:dyDescent="0.25">
      <c r="B1103" s="1"/>
      <c r="D1103" s="3"/>
      <c r="E1103"/>
      <c r="F1103" t="e">
        <f>Table1[[#This Row],[Life expectancy at birth, total (years) '[SP.DYN.LE00.IN']]]/Table1[[#This Row],[Current health expenditure per capita (current US$) '[SH.XPD.CHEX.PC.CD']]]</f>
        <v>#DIV/0!</v>
      </c>
      <c r="G1103" s="2" t="e">
        <f>Table1[[#This Row],[Life expectancy at birth, total (years) '[SP.DYN.LE00.IN']]]/Table1[[#This Row],[Current health expenditure per capita (current US$) '[SH.XPD.CHEX.PC.CD']]]*1000</f>
        <v>#DIV/0!</v>
      </c>
    </row>
    <row r="1104" spans="1:7" x14ac:dyDescent="0.25">
      <c r="A1104" s="5" t="s">
        <v>391</v>
      </c>
      <c r="B1104" s="6" t="s">
        <v>369</v>
      </c>
      <c r="C1104" s="5">
        <v>2015</v>
      </c>
      <c r="D1104" s="7">
        <v>553.91259765999996</v>
      </c>
      <c r="E1104" s="11">
        <v>74.430999999999997</v>
      </c>
      <c r="F1104" s="10">
        <f>Table1[[#This Row],[Life expectancy at birth, total (years) '[SP.DYN.LE00.IN']]]/Table1[[#This Row],[Current health expenditure per capita (current US$) '[SH.XPD.CHEX.PC.CD']]]</f>
        <v>0.13437318507366192</v>
      </c>
      <c r="G1104" s="4">
        <f>Table1[[#This Row],[Life expectancy at birth, total (years) '[SP.DYN.LE00.IN']]]/Table1[[#This Row],[Current health expenditure per capita (current US$) '[SH.XPD.CHEX.PC.CD']]]*1000</f>
        <v>134.37318507366192</v>
      </c>
    </row>
    <row r="1105" spans="1:7" x14ac:dyDescent="0.25">
      <c r="A1105" s="5" t="s">
        <v>391</v>
      </c>
      <c r="B1105" s="6" t="s">
        <v>369</v>
      </c>
      <c r="C1105" s="5">
        <v>2016</v>
      </c>
      <c r="D1105" s="7">
        <v>489.92230224999997</v>
      </c>
      <c r="E1105" s="11">
        <v>74.376000000000005</v>
      </c>
      <c r="F1105" s="10">
        <f>Table1[[#This Row],[Life expectancy at birth, total (years) '[SP.DYN.LE00.IN']]]/Table1[[#This Row],[Current health expenditure per capita (current US$) '[SH.XPD.CHEX.PC.CD']]]</f>
        <v>0.15181182742329427</v>
      </c>
      <c r="G1105" s="4">
        <f>Table1[[#This Row],[Life expectancy at birth, total (years) '[SP.DYN.LE00.IN']]]/Table1[[#This Row],[Current health expenditure per capita (current US$) '[SH.XPD.CHEX.PC.CD']]]*1000</f>
        <v>151.81182742329426</v>
      </c>
    </row>
    <row r="1106" spans="1:7" x14ac:dyDescent="0.25">
      <c r="A1106" s="5" t="s">
        <v>391</v>
      </c>
      <c r="B1106" s="6" t="s">
        <v>369</v>
      </c>
      <c r="C1106" s="5">
        <v>2017</v>
      </c>
      <c r="D1106" s="7">
        <v>512.54974364999998</v>
      </c>
      <c r="E1106" s="11">
        <v>74.260999999999996</v>
      </c>
      <c r="F1106" s="10">
        <f>Table1[[#This Row],[Life expectancy at birth, total (years) '[SP.DYN.LE00.IN']]]/Table1[[#This Row],[Current health expenditure per capita (current US$) '[SH.XPD.CHEX.PC.CD']]]</f>
        <v>0.14488544950031212</v>
      </c>
      <c r="G1106" s="4">
        <f>Table1[[#This Row],[Life expectancy at birth, total (years) '[SP.DYN.LE00.IN']]]/Table1[[#This Row],[Current health expenditure per capita (current US$) '[SH.XPD.CHEX.PC.CD']]]*1000</f>
        <v>144.88544950031212</v>
      </c>
    </row>
    <row r="1107" spans="1:7" x14ac:dyDescent="0.25">
      <c r="A1107" s="5" t="s">
        <v>391</v>
      </c>
      <c r="B1107" s="6" t="s">
        <v>369</v>
      </c>
      <c r="C1107" s="5">
        <v>2018</v>
      </c>
      <c r="D1107" s="7">
        <v>528.26306151999995</v>
      </c>
      <c r="E1107" s="11">
        <v>74.301000000000002</v>
      </c>
      <c r="F1107" s="10">
        <f>Table1[[#This Row],[Life expectancy at birth, total (years) '[SP.DYN.LE00.IN']]]/Table1[[#This Row],[Current health expenditure per capita (current US$) '[SH.XPD.CHEX.PC.CD']]]</f>
        <v>0.14065151514892921</v>
      </c>
      <c r="G1107" s="4">
        <f>Table1[[#This Row],[Life expectancy at birth, total (years) '[SP.DYN.LE00.IN']]]/Table1[[#This Row],[Current health expenditure per capita (current US$) '[SH.XPD.CHEX.PC.CD']]]*1000</f>
        <v>140.65151514892921</v>
      </c>
    </row>
    <row r="1108" spans="1:7" x14ac:dyDescent="0.25">
      <c r="A1108" s="5" t="s">
        <v>391</v>
      </c>
      <c r="B1108" s="6" t="s">
        <v>369</v>
      </c>
      <c r="C1108" s="5">
        <v>2019</v>
      </c>
      <c r="D1108" s="7">
        <v>549.72601318</v>
      </c>
      <c r="E1108" s="11">
        <v>74.53</v>
      </c>
      <c r="F1108" s="10">
        <f>Table1[[#This Row],[Life expectancy at birth, total (years) '[SP.DYN.LE00.IN']]]/Table1[[#This Row],[Current health expenditure per capita (current US$) '[SH.XPD.CHEX.PC.CD']]]</f>
        <v>0.13557662947195517</v>
      </c>
      <c r="G1108" s="4">
        <f>Table1[[#This Row],[Life expectancy at birth, total (years) '[SP.DYN.LE00.IN']]]/Table1[[#This Row],[Current health expenditure per capita (current US$) '[SH.XPD.CHEX.PC.CD']]]*1000</f>
        <v>135.57662947195519</v>
      </c>
    </row>
    <row r="1109" spans="1:7" x14ac:dyDescent="0.25">
      <c r="A1109" s="5" t="s">
        <v>391</v>
      </c>
      <c r="B1109" s="6" t="s">
        <v>369</v>
      </c>
      <c r="C1109" s="5">
        <v>2020</v>
      </c>
      <c r="D1109" s="7">
        <v>535.11669921999999</v>
      </c>
      <c r="E1109" s="11">
        <v>70.448999999999998</v>
      </c>
      <c r="F1109" s="10">
        <f>Table1[[#This Row],[Life expectancy at birth, total (years) '[SP.DYN.LE00.IN']]]/Table1[[#This Row],[Current health expenditure per capita (current US$) '[SH.XPD.CHEX.PC.CD']]]</f>
        <v>0.13165165673709733</v>
      </c>
      <c r="G1109" s="4">
        <f>Table1[[#This Row],[Life expectancy at birth, total (years) '[SP.DYN.LE00.IN']]]/Table1[[#This Row],[Current health expenditure per capita (current US$) '[SH.XPD.CHEX.PC.CD']]]*1000</f>
        <v>131.65165673709734</v>
      </c>
    </row>
    <row r="1110" spans="1:7" x14ac:dyDescent="0.25">
      <c r="A1110" s="5" t="s">
        <v>391</v>
      </c>
      <c r="B1110" s="6" t="s">
        <v>369</v>
      </c>
      <c r="C1110" s="5">
        <v>2021</v>
      </c>
      <c r="D1110" s="7">
        <v>606.13415526999995</v>
      </c>
      <c r="E1110" s="11">
        <v>69.75</v>
      </c>
      <c r="F1110" s="10">
        <f>Table1[[#This Row],[Life expectancy at birth, total (years) '[SP.DYN.LE00.IN']]]/Table1[[#This Row],[Current health expenditure per capita (current US$) '[SH.XPD.CHEX.PC.CD']]]</f>
        <v>0.11507353511357589</v>
      </c>
      <c r="G1110" s="4">
        <f>Table1[[#This Row],[Life expectancy at birth, total (years) '[SP.DYN.LE00.IN']]]/Table1[[#This Row],[Current health expenditure per capita (current US$) '[SH.XPD.CHEX.PC.CD']]]*1000</f>
        <v>115.07353511357589</v>
      </c>
    </row>
    <row r="1111" spans="1:7" x14ac:dyDescent="0.25">
      <c r="A1111" s="5" t="s">
        <v>391</v>
      </c>
      <c r="B1111" s="6" t="s">
        <v>369</v>
      </c>
      <c r="C1111" s="5">
        <v>2022</v>
      </c>
      <c r="D1111" s="7">
        <v>650.97070312999995</v>
      </c>
      <c r="E1111" s="11">
        <v>73.972999999999999</v>
      </c>
      <c r="F1111" s="10">
        <f>Table1[[#This Row],[Life expectancy at birth, total (years) '[SP.DYN.LE00.IN']]]/Table1[[#This Row],[Current health expenditure per capita (current US$) '[SH.XPD.CHEX.PC.CD']]]</f>
        <v>0.11363491420477562</v>
      </c>
      <c r="G1111" s="4">
        <f>Table1[[#This Row],[Life expectancy at birth, total (years) '[SP.DYN.LE00.IN']]]/Table1[[#This Row],[Current health expenditure per capita (current US$) '[SH.XPD.CHEX.PC.CD']]]*1000</f>
        <v>113.63491420477561</v>
      </c>
    </row>
    <row r="1112" spans="1:7" x14ac:dyDescent="0.25">
      <c r="A1112" s="5" t="s">
        <v>391</v>
      </c>
      <c r="B1112" s="6" t="s">
        <v>369</v>
      </c>
      <c r="C1112" s="5">
        <v>2023</v>
      </c>
      <c r="D1112" s="7">
        <v>760.98840331999997</v>
      </c>
      <c r="E1112" s="11">
        <v>75.069000000000003</v>
      </c>
      <c r="F1112" s="10">
        <f>Table1[[#This Row],[Life expectancy at birth, total (years) '[SP.DYN.LE00.IN']]]/Table1[[#This Row],[Current health expenditure per capita (current US$) '[SH.XPD.CHEX.PC.CD']]]</f>
        <v>9.8646706930740249E-2</v>
      </c>
      <c r="G1112" s="4">
        <f>Table1[[#This Row],[Life expectancy at birth, total (years) '[SP.DYN.LE00.IN']]]/Table1[[#This Row],[Current health expenditure per capita (current US$) '[SH.XPD.CHEX.PC.CD']]]*1000</f>
        <v>98.646706930740251</v>
      </c>
    </row>
    <row r="1113" spans="1:7" hidden="1" x14ac:dyDescent="0.25">
      <c r="B1113" s="1"/>
      <c r="D1113" s="3"/>
      <c r="E1113"/>
      <c r="F1113" t="e">
        <f>Table1[[#This Row],[Life expectancy at birth, total (years) '[SP.DYN.LE00.IN']]]/Table1[[#This Row],[Current health expenditure per capita (current US$) '[SH.XPD.CHEX.PC.CD']]]</f>
        <v>#DIV/0!</v>
      </c>
      <c r="G1113" s="2" t="e">
        <f>Table1[[#This Row],[Life expectancy at birth, total (years) '[SP.DYN.LE00.IN']]]/Table1[[#This Row],[Current health expenditure per capita (current US$) '[SH.XPD.CHEX.PC.CD']]]*1000</f>
        <v>#DIV/0!</v>
      </c>
    </row>
    <row r="1114" spans="1:7" x14ac:dyDescent="0.25">
      <c r="A1114" s="5" t="s">
        <v>206</v>
      </c>
      <c r="B1114" s="6" t="s">
        <v>407</v>
      </c>
      <c r="C1114" s="5">
        <v>2015</v>
      </c>
      <c r="D1114" s="7">
        <v>362.27624512</v>
      </c>
      <c r="E1114" s="11">
        <v>65.305999999999997</v>
      </c>
      <c r="F1114" s="10">
        <f>Table1[[#This Row],[Life expectancy at birth, total (years) '[SP.DYN.LE00.IN']]]/Table1[[#This Row],[Current health expenditure per capita (current US$) '[SH.XPD.CHEX.PC.CD']]]</f>
        <v>0.18026575266718939</v>
      </c>
      <c r="G1114" s="4">
        <f>Table1[[#This Row],[Life expectancy at birth, total (years) '[SP.DYN.LE00.IN']]]/Table1[[#This Row],[Current health expenditure per capita (current US$) '[SH.XPD.CHEX.PC.CD']]]*1000</f>
        <v>180.26575266718939</v>
      </c>
    </row>
    <row r="1115" spans="1:7" x14ac:dyDescent="0.25">
      <c r="A1115" s="5" t="s">
        <v>206</v>
      </c>
      <c r="B1115" s="6" t="s">
        <v>407</v>
      </c>
      <c r="C1115" s="5">
        <v>2016</v>
      </c>
      <c r="D1115" s="7">
        <v>399.77108765000003</v>
      </c>
      <c r="E1115" s="11">
        <v>65.575999999999993</v>
      </c>
      <c r="F1115" s="10">
        <f>Table1[[#This Row],[Life expectancy at birth, total (years) '[SP.DYN.LE00.IN']]]/Table1[[#This Row],[Current health expenditure per capita (current US$) '[SH.XPD.CHEX.PC.CD']]]</f>
        <v>0.1640338734486268</v>
      </c>
      <c r="G1115" s="4">
        <f>Table1[[#This Row],[Life expectancy at birth, total (years) '[SP.DYN.LE00.IN']]]/Table1[[#This Row],[Current health expenditure per capita (current US$) '[SH.XPD.CHEX.PC.CD']]]*1000</f>
        <v>164.03387344862679</v>
      </c>
    </row>
    <row r="1116" spans="1:7" x14ac:dyDescent="0.25">
      <c r="A1116" s="5" t="s">
        <v>206</v>
      </c>
      <c r="B1116" s="6" t="s">
        <v>407</v>
      </c>
      <c r="C1116" s="5">
        <v>2017</v>
      </c>
      <c r="D1116" s="7">
        <v>409.11758422999998</v>
      </c>
      <c r="E1116" s="11">
        <v>65.760999999999996</v>
      </c>
      <c r="F1116" s="10">
        <f>Table1[[#This Row],[Life expectancy at birth, total (years) '[SP.DYN.LE00.IN']]]/Table1[[#This Row],[Current health expenditure per capita (current US$) '[SH.XPD.CHEX.PC.CD']]]</f>
        <v>0.16073863000479127</v>
      </c>
      <c r="G1116" s="4">
        <f>Table1[[#This Row],[Life expectancy at birth, total (years) '[SP.DYN.LE00.IN']]]/Table1[[#This Row],[Current health expenditure per capita (current US$) '[SH.XPD.CHEX.PC.CD']]]*1000</f>
        <v>160.73863000479128</v>
      </c>
    </row>
    <row r="1117" spans="1:7" x14ac:dyDescent="0.25">
      <c r="A1117" s="5" t="s">
        <v>206</v>
      </c>
      <c r="B1117" s="6" t="s">
        <v>407</v>
      </c>
      <c r="C1117" s="5">
        <v>2018</v>
      </c>
      <c r="D1117" s="7">
        <v>428.00738525000003</v>
      </c>
      <c r="E1117" s="11">
        <v>65.942999999999998</v>
      </c>
      <c r="F1117" s="10">
        <f>Table1[[#This Row],[Life expectancy at birth, total (years) '[SP.DYN.LE00.IN']]]/Table1[[#This Row],[Current health expenditure per capita (current US$) '[SH.XPD.CHEX.PC.CD']]]</f>
        <v>0.15406977139303929</v>
      </c>
      <c r="G1117" s="4">
        <f>Table1[[#This Row],[Life expectancy at birth, total (years) '[SP.DYN.LE00.IN']]]/Table1[[#This Row],[Current health expenditure per capita (current US$) '[SH.XPD.CHEX.PC.CD']]]*1000</f>
        <v>154.0697713930393</v>
      </c>
    </row>
    <row r="1118" spans="1:7" x14ac:dyDescent="0.25">
      <c r="A1118" s="5" t="s">
        <v>206</v>
      </c>
      <c r="B1118" s="6" t="s">
        <v>407</v>
      </c>
      <c r="C1118" s="5">
        <v>2019</v>
      </c>
      <c r="D1118" s="7">
        <v>425.28103637999999</v>
      </c>
      <c r="E1118" s="11">
        <v>66.195999999999998</v>
      </c>
      <c r="F1118" s="10">
        <f>Table1[[#This Row],[Life expectancy at birth, total (years) '[SP.DYN.LE00.IN']]]/Table1[[#This Row],[Current health expenditure per capita (current US$) '[SH.XPD.CHEX.PC.CD']]]</f>
        <v>0.15565236711107922</v>
      </c>
      <c r="G1118" s="4">
        <f>Table1[[#This Row],[Life expectancy at birth, total (years) '[SP.DYN.LE00.IN']]]/Table1[[#This Row],[Current health expenditure per capita (current US$) '[SH.XPD.CHEX.PC.CD']]]*1000</f>
        <v>155.65236711107923</v>
      </c>
    </row>
    <row r="1119" spans="1:7" x14ac:dyDescent="0.25">
      <c r="A1119" s="5" t="s">
        <v>206</v>
      </c>
      <c r="B1119" s="6" t="s">
        <v>407</v>
      </c>
      <c r="C1119" s="5">
        <v>2020</v>
      </c>
      <c r="D1119" s="7">
        <v>403.03540039000001</v>
      </c>
      <c r="E1119" s="11">
        <v>65.878</v>
      </c>
      <c r="F1119" s="10">
        <f>Table1[[#This Row],[Life expectancy at birth, total (years) '[SP.DYN.LE00.IN']]]/Table1[[#This Row],[Current health expenditure per capita (current US$) '[SH.XPD.CHEX.PC.CD']]]</f>
        <v>0.1634546244231963</v>
      </c>
      <c r="G1119" s="4">
        <f>Table1[[#This Row],[Life expectancy at birth, total (years) '[SP.DYN.LE00.IN']]]/Table1[[#This Row],[Current health expenditure per capita (current US$) '[SH.XPD.CHEX.PC.CD']]]*1000</f>
        <v>163.45462442319629</v>
      </c>
    </row>
    <row r="1120" spans="1:7" x14ac:dyDescent="0.25">
      <c r="A1120" s="5" t="s">
        <v>206</v>
      </c>
      <c r="B1120" s="6" t="s">
        <v>407</v>
      </c>
      <c r="C1120" s="5">
        <v>2021</v>
      </c>
      <c r="D1120" s="7">
        <v>399.43988037000003</v>
      </c>
      <c r="E1120" s="11">
        <v>66.152000000000001</v>
      </c>
      <c r="F1120" s="10">
        <f>Table1[[#This Row],[Life expectancy at birth, total (years) '[SP.DYN.LE00.IN']]]/Table1[[#This Row],[Current health expenditure per capita (current US$) '[SH.XPD.CHEX.PC.CD']]]</f>
        <v>0.16561190619905952</v>
      </c>
      <c r="G1120" s="4">
        <f>Table1[[#This Row],[Life expectancy at birth, total (years) '[SP.DYN.LE00.IN']]]/Table1[[#This Row],[Current health expenditure per capita (current US$) '[SH.XPD.CHEX.PC.CD']]]*1000</f>
        <v>165.61190619905952</v>
      </c>
    </row>
    <row r="1121" spans="1:7" x14ac:dyDescent="0.25">
      <c r="A1121" s="5" t="s">
        <v>206</v>
      </c>
      <c r="B1121" s="6" t="s">
        <v>407</v>
      </c>
      <c r="C1121" s="5">
        <v>2022</v>
      </c>
      <c r="D1121" s="7">
        <v>468.53509521000001</v>
      </c>
      <c r="E1121" s="11">
        <v>66.960999999999999</v>
      </c>
      <c r="F1121" s="10">
        <f>Table1[[#This Row],[Life expectancy at birth, total (years) '[SP.DYN.LE00.IN']]]/Table1[[#This Row],[Current health expenditure per capita (current US$) '[SH.XPD.CHEX.PC.CD']]]</f>
        <v>0.14291565495213909</v>
      </c>
      <c r="G1121" s="4">
        <f>Table1[[#This Row],[Life expectancy at birth, total (years) '[SP.DYN.LE00.IN']]]/Table1[[#This Row],[Current health expenditure per capita (current US$) '[SH.XPD.CHEX.PC.CD']]]*1000</f>
        <v>142.91565495213911</v>
      </c>
    </row>
    <row r="1122" spans="1:7" x14ac:dyDescent="0.25">
      <c r="A1122" s="5" t="s">
        <v>206</v>
      </c>
      <c r="B1122" s="6" t="s">
        <v>407</v>
      </c>
      <c r="C1122" s="5">
        <v>2023</v>
      </c>
      <c r="D1122" s="7">
        <v>507.7762146</v>
      </c>
      <c r="E1122" s="11">
        <v>67.197999999999993</v>
      </c>
      <c r="F1122" s="10">
        <f>Table1[[#This Row],[Life expectancy at birth, total (years) '[SP.DYN.LE00.IN']]]/Table1[[#This Row],[Current health expenditure per capita (current US$) '[SH.XPD.CHEX.PC.CD']]]</f>
        <v>0.1323378253409036</v>
      </c>
      <c r="G1122" s="4">
        <f>Table1[[#This Row],[Life expectancy at birth, total (years) '[SP.DYN.LE00.IN']]]/Table1[[#This Row],[Current health expenditure per capita (current US$) '[SH.XPD.CHEX.PC.CD']]]*1000</f>
        <v>132.33782534090361</v>
      </c>
    </row>
    <row r="1123" spans="1:7" hidden="1" x14ac:dyDescent="0.25">
      <c r="B1123" s="1"/>
      <c r="D1123" s="3"/>
      <c r="E1123"/>
      <c r="F1123" t="e">
        <f>Table1[[#This Row],[Life expectancy at birth, total (years) '[SP.DYN.LE00.IN']]]/Table1[[#This Row],[Current health expenditure per capita (current US$) '[SH.XPD.CHEX.PC.CD']]]</f>
        <v>#DIV/0!</v>
      </c>
      <c r="G1123" s="2" t="e">
        <f>Table1[[#This Row],[Life expectancy at birth, total (years) '[SP.DYN.LE00.IN']]]/Table1[[#This Row],[Current health expenditure per capita (current US$) '[SH.XPD.CHEX.PC.CD']]]*1000</f>
        <v>#DIV/0!</v>
      </c>
    </row>
    <row r="1124" spans="1:7" x14ac:dyDescent="0.25">
      <c r="A1124" s="5" t="s">
        <v>130</v>
      </c>
      <c r="B1124" s="6" t="s">
        <v>399</v>
      </c>
      <c r="C1124" s="5">
        <v>2015</v>
      </c>
      <c r="D1124" s="7">
        <v>186.43643187999999</v>
      </c>
      <c r="E1124" s="11">
        <v>70.117999999999995</v>
      </c>
      <c r="F1124" s="10">
        <f>Table1[[#This Row],[Life expectancy at birth, total (years) '[SP.DYN.LE00.IN']]]/Table1[[#This Row],[Current health expenditure per capita (current US$) '[SH.XPD.CHEX.PC.CD']]]</f>
        <v>0.37609601992990038</v>
      </c>
      <c r="G1124" s="4">
        <f>Table1[[#This Row],[Life expectancy at birth, total (years) '[SP.DYN.LE00.IN']]]/Table1[[#This Row],[Current health expenditure per capita (current US$) '[SH.XPD.CHEX.PC.CD']]]*1000</f>
        <v>376.09601992990036</v>
      </c>
    </row>
    <row r="1125" spans="1:7" x14ac:dyDescent="0.25">
      <c r="A1125" s="5" t="s">
        <v>130</v>
      </c>
      <c r="B1125" s="6" t="s">
        <v>399</v>
      </c>
      <c r="C1125" s="5">
        <v>2016</v>
      </c>
      <c r="D1125" s="7">
        <v>171.18476867999999</v>
      </c>
      <c r="E1125" s="11">
        <v>70.179000000000002</v>
      </c>
      <c r="F1125" s="10">
        <f>Table1[[#This Row],[Life expectancy at birth, total (years) '[SP.DYN.LE00.IN']]]/Table1[[#This Row],[Current health expenditure per capita (current US$) '[SH.XPD.CHEX.PC.CD']]]</f>
        <v>0.40996053878594407</v>
      </c>
      <c r="G1125" s="4">
        <f>Table1[[#This Row],[Life expectancy at birth, total (years) '[SP.DYN.LE00.IN']]]/Table1[[#This Row],[Current health expenditure per capita (current US$) '[SH.XPD.CHEX.PC.CD']]]*1000</f>
        <v>409.9605387859441</v>
      </c>
    </row>
    <row r="1126" spans="1:7" x14ac:dyDescent="0.25">
      <c r="A1126" s="5" t="s">
        <v>130</v>
      </c>
      <c r="B1126" s="6" t="s">
        <v>399</v>
      </c>
      <c r="C1126" s="5">
        <v>2017</v>
      </c>
      <c r="D1126" s="7">
        <v>243.94540405000001</v>
      </c>
      <c r="E1126" s="11">
        <v>70.375</v>
      </c>
      <c r="F1126" s="10">
        <f>Table1[[#This Row],[Life expectancy at birth, total (years) '[SP.DYN.LE00.IN']]]/Table1[[#This Row],[Current health expenditure per capita (current US$) '[SH.XPD.CHEX.PC.CD']]]</f>
        <v>0.28848668116565812</v>
      </c>
      <c r="G1126" s="4">
        <f>Table1[[#This Row],[Life expectancy at birth, total (years) '[SP.DYN.LE00.IN']]]/Table1[[#This Row],[Current health expenditure per capita (current US$) '[SH.XPD.CHEX.PC.CD']]]*1000</f>
        <v>288.48668116565813</v>
      </c>
    </row>
    <row r="1127" spans="1:7" x14ac:dyDescent="0.25">
      <c r="A1127" s="5" t="s">
        <v>130</v>
      </c>
      <c r="B1127" s="6" t="s">
        <v>399</v>
      </c>
      <c r="C1127" s="5">
        <v>2018</v>
      </c>
      <c r="D1127" s="7">
        <v>276.46978760000002</v>
      </c>
      <c r="E1127" s="11">
        <v>70.236000000000004</v>
      </c>
      <c r="F1127" s="10">
        <f>Table1[[#This Row],[Life expectancy at birth, total (years) '[SP.DYN.LE00.IN']]]/Table1[[#This Row],[Current health expenditure per capita (current US$) '[SH.XPD.CHEX.PC.CD']]]</f>
        <v>0.25404584207811648</v>
      </c>
      <c r="G1127" s="4">
        <f>Table1[[#This Row],[Life expectancy at birth, total (years) '[SP.DYN.LE00.IN']]]/Table1[[#This Row],[Current health expenditure per capita (current US$) '[SH.XPD.CHEX.PC.CD']]]*1000</f>
        <v>254.04584207811649</v>
      </c>
    </row>
    <row r="1128" spans="1:7" x14ac:dyDescent="0.25">
      <c r="A1128" s="5" t="s">
        <v>130</v>
      </c>
      <c r="B1128" s="6" t="s">
        <v>399</v>
      </c>
      <c r="C1128" s="5">
        <v>2019</v>
      </c>
      <c r="D1128" s="7">
        <v>283.98425293000003</v>
      </c>
      <c r="E1128" s="11">
        <v>70.180999999999997</v>
      </c>
      <c r="F1128" s="10">
        <f>Table1[[#This Row],[Life expectancy at birth, total (years) '[SP.DYN.LE00.IN']]]/Table1[[#This Row],[Current health expenditure per capita (current US$) '[SH.XPD.CHEX.PC.CD']]]</f>
        <v>0.24712989990081979</v>
      </c>
      <c r="G1128" s="4">
        <f>Table1[[#This Row],[Life expectancy at birth, total (years) '[SP.DYN.LE00.IN']]]/Table1[[#This Row],[Current health expenditure per capita (current US$) '[SH.XPD.CHEX.PC.CD']]]*1000</f>
        <v>247.12989990081979</v>
      </c>
    </row>
    <row r="1129" spans="1:7" x14ac:dyDescent="0.25">
      <c r="A1129" s="5" t="s">
        <v>130</v>
      </c>
      <c r="B1129" s="6" t="s">
        <v>399</v>
      </c>
      <c r="C1129" s="5">
        <v>2020</v>
      </c>
      <c r="D1129" s="7">
        <v>305.48913573999999</v>
      </c>
      <c r="E1129" s="11">
        <v>69.914000000000001</v>
      </c>
      <c r="F1129" s="10">
        <f>Table1[[#This Row],[Life expectancy at birth, total (years) '[SP.DYN.LE00.IN']]]/Table1[[#This Row],[Current health expenditure per capita (current US$) '[SH.XPD.CHEX.PC.CD']]]</f>
        <v>0.22885920257243908</v>
      </c>
      <c r="G1129" s="4">
        <f>Table1[[#This Row],[Life expectancy at birth, total (years) '[SP.DYN.LE00.IN']]]/Table1[[#This Row],[Current health expenditure per capita (current US$) '[SH.XPD.CHEX.PC.CD']]]*1000</f>
        <v>228.85920257243907</v>
      </c>
    </row>
    <row r="1130" spans="1:7" x14ac:dyDescent="0.25">
      <c r="A1130" s="5" t="s">
        <v>130</v>
      </c>
      <c r="B1130" s="6" t="s">
        <v>399</v>
      </c>
      <c r="C1130" s="5">
        <v>2021</v>
      </c>
      <c r="D1130" s="7">
        <v>403.87823486000002</v>
      </c>
      <c r="E1130" s="11">
        <v>68.991</v>
      </c>
      <c r="F1130" s="10">
        <f>Table1[[#This Row],[Life expectancy at birth, total (years) '[SP.DYN.LE00.IN']]]/Table1[[#This Row],[Current health expenditure per capita (current US$) '[SH.XPD.CHEX.PC.CD']]]</f>
        <v>0.1708212873216973</v>
      </c>
      <c r="G1130" s="4">
        <f>Table1[[#This Row],[Life expectancy at birth, total (years) '[SP.DYN.LE00.IN']]]/Table1[[#This Row],[Current health expenditure per capita (current US$) '[SH.XPD.CHEX.PC.CD']]]*1000</f>
        <v>170.8212873216973</v>
      </c>
    </row>
    <row r="1131" spans="1:7" x14ac:dyDescent="0.25">
      <c r="A1131" s="5" t="s">
        <v>130</v>
      </c>
      <c r="B1131" s="6" t="s">
        <v>399</v>
      </c>
      <c r="C1131" s="5">
        <v>2022</v>
      </c>
      <c r="D1131" s="7">
        <v>394.42373657000002</v>
      </c>
      <c r="E1131" s="11">
        <v>71.546000000000006</v>
      </c>
      <c r="F1131" s="10">
        <f>Table1[[#This Row],[Life expectancy at birth, total (years) '[SP.DYN.LE00.IN']]]/Table1[[#This Row],[Current health expenditure per capita (current US$) '[SH.XPD.CHEX.PC.CD']]]</f>
        <v>0.1813937483128692</v>
      </c>
      <c r="G1131" s="4">
        <f>Table1[[#This Row],[Life expectancy at birth, total (years) '[SP.DYN.LE00.IN']]]/Table1[[#This Row],[Current health expenditure per capita (current US$) '[SH.XPD.CHEX.PC.CD']]]*1000</f>
        <v>181.39374831286921</v>
      </c>
    </row>
    <row r="1132" spans="1:7" x14ac:dyDescent="0.25">
      <c r="A1132" s="5" t="s">
        <v>130</v>
      </c>
      <c r="B1132" s="6" t="s">
        <v>399</v>
      </c>
      <c r="C1132" s="5">
        <v>2023</v>
      </c>
      <c r="D1132" s="7">
        <v>451.73007202000002</v>
      </c>
      <c r="E1132" s="11">
        <v>71.197999999999993</v>
      </c>
      <c r="F1132" s="10">
        <f>Table1[[#This Row],[Life expectancy at birth, total (years) '[SP.DYN.LE00.IN']]]/Table1[[#This Row],[Current health expenditure per capita (current US$) '[SH.XPD.CHEX.PC.CD']]]</f>
        <v>0.15761182265688911</v>
      </c>
      <c r="G1132" s="4">
        <f>Table1[[#This Row],[Life expectancy at birth, total (years) '[SP.DYN.LE00.IN']]]/Table1[[#This Row],[Current health expenditure per capita (current US$) '[SH.XPD.CHEX.PC.CD']]]*1000</f>
        <v>157.6118226568891</v>
      </c>
    </row>
    <row r="1133" spans="1:7" hidden="1" x14ac:dyDescent="0.25">
      <c r="B1133" s="1"/>
      <c r="D1133" s="3"/>
      <c r="E1133"/>
      <c r="F1133" t="e">
        <f>Table1[[#This Row],[Life expectancy at birth, total (years) '[SP.DYN.LE00.IN']]]/Table1[[#This Row],[Current health expenditure per capita (current US$) '[SH.XPD.CHEX.PC.CD']]]</f>
        <v>#DIV/0!</v>
      </c>
      <c r="G1133" s="2" t="e">
        <f>Table1[[#This Row],[Life expectancy at birth, total (years) '[SP.DYN.LE00.IN']]]/Table1[[#This Row],[Current health expenditure per capita (current US$) '[SH.XPD.CHEX.PC.CD']]]*1000</f>
        <v>#DIV/0!</v>
      </c>
    </row>
    <row r="1134" spans="1:7" x14ac:dyDescent="0.25">
      <c r="A1134" s="5" t="s">
        <v>235</v>
      </c>
      <c r="B1134" s="6" t="s">
        <v>370</v>
      </c>
      <c r="C1134" s="5">
        <v>2015</v>
      </c>
      <c r="D1134" s="7">
        <v>7354.1318359400002</v>
      </c>
      <c r="E1134" s="11">
        <v>85.322999999999993</v>
      </c>
      <c r="F1134" s="10">
        <f>Table1[[#This Row],[Life expectancy at birth, total (years) '[SP.DYN.LE00.IN']]]/Table1[[#This Row],[Current health expenditure per capita (current US$) '[SH.XPD.CHEX.PC.CD']]]</f>
        <v>1.1602049283781172E-2</v>
      </c>
      <c r="G1134" s="4">
        <f>Table1[[#This Row],[Life expectancy at birth, total (years) '[SP.DYN.LE00.IN']]]/Table1[[#This Row],[Current health expenditure per capita (current US$) '[SH.XPD.CHEX.PC.CD']]]*1000</f>
        <v>11.602049283781172</v>
      </c>
    </row>
    <row r="1135" spans="1:7" x14ac:dyDescent="0.25">
      <c r="A1135" s="5" t="s">
        <v>235</v>
      </c>
      <c r="B1135" s="6" t="s">
        <v>370</v>
      </c>
      <c r="C1135" s="5">
        <v>2016</v>
      </c>
      <c r="D1135" s="7">
        <v>7157.92578125</v>
      </c>
      <c r="E1135" s="11">
        <v>85.63</v>
      </c>
      <c r="F1135" s="10">
        <f>Table1[[#This Row],[Life expectancy at birth, total (years) '[SP.DYN.LE00.IN']]]/Table1[[#This Row],[Current health expenditure per capita (current US$) '[SH.XPD.CHEX.PC.CD']]]</f>
        <v>1.1962962821479031E-2</v>
      </c>
      <c r="G1135" s="4">
        <f>Table1[[#This Row],[Life expectancy at birth, total (years) '[SP.DYN.LE00.IN']]]/Table1[[#This Row],[Current health expenditure per capita (current US$) '[SH.XPD.CHEX.PC.CD']]]*1000</f>
        <v>11.962962821479032</v>
      </c>
    </row>
    <row r="1136" spans="1:7" x14ac:dyDescent="0.25">
      <c r="A1136" s="5" t="s">
        <v>235</v>
      </c>
      <c r="B1136" s="6" t="s">
        <v>370</v>
      </c>
      <c r="C1136" s="5">
        <v>2017</v>
      </c>
      <c r="D1136" s="7">
        <v>7101.640625</v>
      </c>
      <c r="E1136" s="11">
        <v>85.878</v>
      </c>
      <c r="F1136" s="10">
        <f>Table1[[#This Row],[Life expectancy at birth, total (years) '[SP.DYN.LE00.IN']]]/Table1[[#This Row],[Current health expenditure per capita (current US$) '[SH.XPD.CHEX.PC.CD']]]</f>
        <v>1.2092698650179865E-2</v>
      </c>
      <c r="G1136" s="4">
        <f>Table1[[#This Row],[Life expectancy at birth, total (years) '[SP.DYN.LE00.IN']]]/Table1[[#This Row],[Current health expenditure per capita (current US$) '[SH.XPD.CHEX.PC.CD']]]*1000</f>
        <v>12.092698650179866</v>
      </c>
    </row>
    <row r="1137" spans="1:7" x14ac:dyDescent="0.25">
      <c r="A1137" s="5" t="s">
        <v>235</v>
      </c>
      <c r="B1137" s="6" t="s">
        <v>370</v>
      </c>
      <c r="C1137" s="5">
        <v>2018</v>
      </c>
      <c r="D1137" s="7">
        <v>7621.9702148400002</v>
      </c>
      <c r="E1137" s="11">
        <v>86.084000000000003</v>
      </c>
      <c r="F1137" s="10">
        <f>Table1[[#This Row],[Life expectancy at birth, total (years) '[SP.DYN.LE00.IN']]]/Table1[[#This Row],[Current health expenditure per capita (current US$) '[SH.XPD.CHEX.PC.CD']]]</f>
        <v>1.1294192652759804E-2</v>
      </c>
      <c r="G1137" s="4">
        <f>Table1[[#This Row],[Life expectancy at birth, total (years) '[SP.DYN.LE00.IN']]]/Table1[[#This Row],[Current health expenditure per capita (current US$) '[SH.XPD.CHEX.PC.CD']]]*1000</f>
        <v>11.294192652759804</v>
      </c>
    </row>
    <row r="1138" spans="1:7" x14ac:dyDescent="0.25">
      <c r="A1138" s="5" t="s">
        <v>235</v>
      </c>
      <c r="B1138" s="6" t="s">
        <v>370</v>
      </c>
      <c r="C1138" s="5">
        <v>2019</v>
      </c>
      <c r="D1138" s="7">
        <v>7517.2534179699996</v>
      </c>
      <c r="E1138" s="11">
        <v>86.150999999999996</v>
      </c>
      <c r="F1138" s="10">
        <f>Table1[[#This Row],[Life expectancy at birth, total (years) '[SP.DYN.LE00.IN']]]/Table1[[#This Row],[Current health expenditure per capita (current US$) '[SH.XPD.CHEX.PC.CD']]]</f>
        <v>1.1460435774861064E-2</v>
      </c>
      <c r="G1138" s="4">
        <f>Table1[[#This Row],[Life expectancy at birth, total (years) '[SP.DYN.LE00.IN']]]/Table1[[#This Row],[Current health expenditure per capita (current US$) '[SH.XPD.CHEX.PC.CD']]]*1000</f>
        <v>11.460435774861065</v>
      </c>
    </row>
    <row r="1139" spans="1:7" x14ac:dyDescent="0.25">
      <c r="A1139" s="5" t="s">
        <v>235</v>
      </c>
      <c r="B1139" s="6" t="s">
        <v>370</v>
      </c>
      <c r="C1139" s="5">
        <v>2020</v>
      </c>
      <c r="D1139" s="7">
        <v>7582.4155273400002</v>
      </c>
      <c r="E1139" s="11">
        <v>86.088999999999999</v>
      </c>
      <c r="F1139" s="10">
        <f>Table1[[#This Row],[Life expectancy at birth, total (years) '[SP.DYN.LE00.IN']]]/Table1[[#This Row],[Current health expenditure per capita (current US$) '[SH.XPD.CHEX.PC.CD']]]</f>
        <v>1.1353769743901258E-2</v>
      </c>
      <c r="G1139" s="4">
        <f>Table1[[#This Row],[Life expectancy at birth, total (years) '[SP.DYN.LE00.IN']]]/Table1[[#This Row],[Current health expenditure per capita (current US$) '[SH.XPD.CHEX.PC.CD']]]*1000</f>
        <v>11.353769743901259</v>
      </c>
    </row>
    <row r="1140" spans="1:7" x14ac:dyDescent="0.25">
      <c r="A1140" s="5" t="s">
        <v>235</v>
      </c>
      <c r="B1140" s="6" t="s">
        <v>370</v>
      </c>
      <c r="C1140" s="5">
        <v>2021</v>
      </c>
      <c r="D1140" s="7">
        <v>8225.3876953100007</v>
      </c>
      <c r="E1140" s="11">
        <v>85.113</v>
      </c>
      <c r="F1140" s="10">
        <f>Table1[[#This Row],[Life expectancy at birth, total (years) '[SP.DYN.LE00.IN']]]/Table1[[#This Row],[Current health expenditure per capita (current US$) '[SH.XPD.CHEX.PC.CD']]]</f>
        <v>1.0347597359882528E-2</v>
      </c>
      <c r="G1140" s="4">
        <f>Table1[[#This Row],[Life expectancy at birth, total (years) '[SP.DYN.LE00.IN']]]/Table1[[#This Row],[Current health expenditure per capita (current US$) '[SH.XPD.CHEX.PC.CD']]]*1000</f>
        <v>10.347597359882528</v>
      </c>
    </row>
    <row r="1141" spans="1:7" x14ac:dyDescent="0.25">
      <c r="A1141" s="5" t="s">
        <v>235</v>
      </c>
      <c r="B1141" s="6" t="s">
        <v>370</v>
      </c>
      <c r="C1141" s="5">
        <v>2022</v>
      </c>
      <c r="D1141" s="7">
        <v>7674.0981445300004</v>
      </c>
      <c r="E1141" s="11">
        <v>85.745999999999995</v>
      </c>
      <c r="F1141" s="10">
        <f>Table1[[#This Row],[Life expectancy at birth, total (years) '[SP.DYN.LE00.IN']]]/Table1[[#This Row],[Current health expenditure per capita (current US$) '[SH.XPD.CHEX.PC.CD']]]</f>
        <v>1.117343020444932E-2</v>
      </c>
      <c r="G1141" s="4">
        <f>Table1[[#This Row],[Life expectancy at birth, total (years) '[SP.DYN.LE00.IN']]]/Table1[[#This Row],[Current health expenditure per capita (current US$) '[SH.XPD.CHEX.PC.CD']]]*1000</f>
        <v>11.173430204449319</v>
      </c>
    </row>
    <row r="1142" spans="1:7" x14ac:dyDescent="0.25">
      <c r="A1142" s="5" t="s">
        <v>235</v>
      </c>
      <c r="B1142" s="6" t="s">
        <v>370</v>
      </c>
      <c r="C1142" s="5">
        <v>2023</v>
      </c>
      <c r="D1142" s="7">
        <v>8004.1684570300004</v>
      </c>
      <c r="E1142" s="11">
        <v>86.372</v>
      </c>
      <c r="F1142" s="10">
        <f>Table1[[#This Row],[Life expectancy at birth, total (years) '[SP.DYN.LE00.IN']]]/Table1[[#This Row],[Current health expenditure per capita (current US$) '[SH.XPD.CHEX.PC.CD']]]</f>
        <v>1.0790877336438381E-2</v>
      </c>
      <c r="G1142" s="4">
        <f>Table1[[#This Row],[Life expectancy at birth, total (years) '[SP.DYN.LE00.IN']]]/Table1[[#This Row],[Current health expenditure per capita (current US$) '[SH.XPD.CHEX.PC.CD']]]*1000</f>
        <v>10.790877336438381</v>
      </c>
    </row>
    <row r="1143" spans="1:7" hidden="1" x14ac:dyDescent="0.25">
      <c r="B1143" s="1"/>
      <c r="D1143" s="3"/>
      <c r="E1143"/>
      <c r="F1143" t="e">
        <f>Table1[[#This Row],[Life expectancy at birth, total (years) '[SP.DYN.LE00.IN']]]/Table1[[#This Row],[Current health expenditure per capita (current US$) '[SH.XPD.CHEX.PC.CD']]]</f>
        <v>#DIV/0!</v>
      </c>
      <c r="G1143" s="2" t="e">
        <f>Table1[[#This Row],[Life expectancy at birth, total (years) '[SP.DYN.LE00.IN']]]/Table1[[#This Row],[Current health expenditure per capita (current US$) '[SH.XPD.CHEX.PC.CD']]]*1000</f>
        <v>#DIV/0!</v>
      </c>
    </row>
    <row r="1144" spans="1:7" x14ac:dyDescent="0.25">
      <c r="A1144" s="5" t="s">
        <v>94</v>
      </c>
      <c r="B1144" s="6" t="s">
        <v>254</v>
      </c>
      <c r="C1144" s="5">
        <v>2015</v>
      </c>
      <c r="D1144" s="7">
        <v>165.19296265</v>
      </c>
      <c r="E1144" s="11">
        <v>70.810243902439026</v>
      </c>
      <c r="F1144" s="10">
        <f>Table1[[#This Row],[Life expectancy at birth, total (years) '[SP.DYN.LE00.IN']]]/Table1[[#This Row],[Current health expenditure per capita (current US$) '[SH.XPD.CHEX.PC.CD']]]</f>
        <v>0.4286516977873151</v>
      </c>
      <c r="G1144" s="4">
        <f>Table1[[#This Row],[Life expectancy at birth, total (years) '[SP.DYN.LE00.IN']]]/Table1[[#This Row],[Current health expenditure per capita (current US$) '[SH.XPD.CHEX.PC.CD']]]*1000</f>
        <v>428.65169778731507</v>
      </c>
    </row>
    <row r="1145" spans="1:7" x14ac:dyDescent="0.25">
      <c r="A1145" s="5" t="s">
        <v>94</v>
      </c>
      <c r="B1145" s="6" t="s">
        <v>254</v>
      </c>
      <c r="C1145" s="5">
        <v>2016</v>
      </c>
      <c r="D1145" s="7">
        <v>168.41404724</v>
      </c>
      <c r="E1145" s="11">
        <v>70.2239024390244</v>
      </c>
      <c r="F1145" s="10">
        <f>Table1[[#This Row],[Life expectancy at birth, total (years) '[SP.DYN.LE00.IN']]]/Table1[[#This Row],[Current health expenditure per capita (current US$) '[SH.XPD.CHEX.PC.CD']]]</f>
        <v>0.41697176446897671</v>
      </c>
      <c r="G1145" s="4">
        <f>Table1[[#This Row],[Life expectancy at birth, total (years) '[SP.DYN.LE00.IN']]]/Table1[[#This Row],[Current health expenditure per capita (current US$) '[SH.XPD.CHEX.PC.CD']]]*1000</f>
        <v>416.97176446897669</v>
      </c>
    </row>
    <row r="1146" spans="1:7" x14ac:dyDescent="0.25">
      <c r="A1146" s="5" t="s">
        <v>94</v>
      </c>
      <c r="B1146" s="6" t="s">
        <v>254</v>
      </c>
      <c r="C1146" s="5">
        <v>2017</v>
      </c>
      <c r="D1146" s="7">
        <v>160.48896790000001</v>
      </c>
      <c r="E1146" s="11">
        <v>70.54341463414633</v>
      </c>
      <c r="F1146" s="10">
        <f>Table1[[#This Row],[Life expectancy at birth, total (years) '[SP.DYN.LE00.IN']]]/Table1[[#This Row],[Current health expenditure per capita (current US$) '[SH.XPD.CHEX.PC.CD']]]</f>
        <v>0.43955304565296743</v>
      </c>
      <c r="G1146" s="4">
        <f>Table1[[#This Row],[Life expectancy at birth, total (years) '[SP.DYN.LE00.IN']]]/Table1[[#This Row],[Current health expenditure per capita (current US$) '[SH.XPD.CHEX.PC.CD']]]*1000</f>
        <v>439.55304565296746</v>
      </c>
    </row>
    <row r="1147" spans="1:7" x14ac:dyDescent="0.25">
      <c r="A1147" s="5" t="s">
        <v>94</v>
      </c>
      <c r="B1147" s="6" t="s">
        <v>254</v>
      </c>
      <c r="C1147" s="5">
        <v>2018</v>
      </c>
      <c r="D1147" s="7">
        <v>188.64115906000001</v>
      </c>
      <c r="E1147" s="11">
        <v>70.827073170731722</v>
      </c>
      <c r="F1147" s="10">
        <f>Table1[[#This Row],[Life expectancy at birth, total (years) '[SP.DYN.LE00.IN']]]/Table1[[#This Row],[Current health expenditure per capita (current US$) '[SH.XPD.CHEX.PC.CD']]]</f>
        <v>0.37545927688137332</v>
      </c>
      <c r="G1147" s="4">
        <f>Table1[[#This Row],[Life expectancy at birth, total (years) '[SP.DYN.LE00.IN']]]/Table1[[#This Row],[Current health expenditure per capita (current US$) '[SH.XPD.CHEX.PC.CD']]]*1000</f>
        <v>375.45927688137334</v>
      </c>
    </row>
    <row r="1148" spans="1:7" x14ac:dyDescent="0.25">
      <c r="A1148" s="5" t="s">
        <v>94</v>
      </c>
      <c r="B1148" s="6" t="s">
        <v>254</v>
      </c>
      <c r="C1148" s="5">
        <v>2019</v>
      </c>
      <c r="D1148" s="7">
        <v>197.57131957999999</v>
      </c>
      <c r="E1148" s="11">
        <v>71.053170731707326</v>
      </c>
      <c r="F1148" s="10">
        <f>Table1[[#This Row],[Life expectancy at birth, total (years) '[SP.DYN.LE00.IN']]]/Table1[[#This Row],[Current health expenditure per capita (current US$) '[SH.XPD.CHEX.PC.CD']]]</f>
        <v>0.35963302205377379</v>
      </c>
      <c r="G1148" s="4">
        <f>Table1[[#This Row],[Life expectancy at birth, total (years) '[SP.DYN.LE00.IN']]]/Table1[[#This Row],[Current health expenditure per capita (current US$) '[SH.XPD.CHEX.PC.CD']]]*1000</f>
        <v>359.6330220537738</v>
      </c>
    </row>
    <row r="1149" spans="1:7" x14ac:dyDescent="0.25">
      <c r="A1149" s="5" t="s">
        <v>94</v>
      </c>
      <c r="B1149" s="6" t="s">
        <v>254</v>
      </c>
      <c r="C1149" s="5">
        <v>2020</v>
      </c>
      <c r="D1149" s="7">
        <v>188.77464294000001</v>
      </c>
      <c r="E1149" s="11">
        <v>71.349024390243898</v>
      </c>
      <c r="F1149" s="10">
        <f>Table1[[#This Row],[Life expectancy at birth, total (years) '[SP.DYN.LE00.IN']]]/Table1[[#This Row],[Current health expenditure per capita (current US$) '[SH.XPD.CHEX.PC.CD']]]</f>
        <v>0.37795873046848466</v>
      </c>
      <c r="G1149" s="4">
        <f>Table1[[#This Row],[Life expectancy at birth, total (years) '[SP.DYN.LE00.IN']]]/Table1[[#This Row],[Current health expenditure per capita (current US$) '[SH.XPD.CHEX.PC.CD']]]*1000</f>
        <v>377.95873046848465</v>
      </c>
    </row>
    <row r="1150" spans="1:7" x14ac:dyDescent="0.25">
      <c r="A1150" s="5" t="s">
        <v>94</v>
      </c>
      <c r="B1150" s="6" t="s">
        <v>254</v>
      </c>
      <c r="C1150" s="5">
        <v>2021</v>
      </c>
      <c r="D1150" s="7">
        <v>330.03753662000003</v>
      </c>
      <c r="E1150" s="11">
        <v>71.645121951219522</v>
      </c>
      <c r="F1150" s="10">
        <f>Table1[[#This Row],[Life expectancy at birth, total (years) '[SP.DYN.LE00.IN']]]/Table1[[#This Row],[Current health expenditure per capita (current US$) '[SH.XPD.CHEX.PC.CD']]]</f>
        <v>0.21708173768643346</v>
      </c>
      <c r="G1150" s="4">
        <f>Table1[[#This Row],[Life expectancy at birth, total (years) '[SP.DYN.LE00.IN']]]/Table1[[#This Row],[Current health expenditure per capita (current US$) '[SH.XPD.CHEX.PC.CD']]]*1000</f>
        <v>217.08173768643346</v>
      </c>
    </row>
    <row r="1151" spans="1:7" x14ac:dyDescent="0.25">
      <c r="A1151" s="5" t="s">
        <v>94</v>
      </c>
      <c r="B1151" s="6" t="s">
        <v>254</v>
      </c>
      <c r="C1151" s="5">
        <v>2022</v>
      </c>
      <c r="D1151" s="7">
        <v>448.24212646000001</v>
      </c>
      <c r="E1151" s="11">
        <v>71.900731707317078</v>
      </c>
      <c r="F1151" s="10">
        <f>Table1[[#This Row],[Life expectancy at birth, total (years) '[SP.DYN.LE00.IN']]]/Table1[[#This Row],[Current health expenditure per capita (current US$) '[SH.XPD.CHEX.PC.CD']]]</f>
        <v>0.16040601153478001</v>
      </c>
      <c r="G1151" s="4">
        <f>Table1[[#This Row],[Life expectancy at birth, total (years) '[SP.DYN.LE00.IN']]]/Table1[[#This Row],[Current health expenditure per capita (current US$) '[SH.XPD.CHEX.PC.CD']]]*1000</f>
        <v>160.40601153478002</v>
      </c>
    </row>
    <row r="1152" spans="1:7" x14ac:dyDescent="0.25">
      <c r="A1152" s="5" t="s">
        <v>94</v>
      </c>
      <c r="B1152" s="6" t="s">
        <v>254</v>
      </c>
      <c r="C1152" s="5">
        <v>2023</v>
      </c>
      <c r="D1152" s="7">
        <v>359.60980224999997</v>
      </c>
      <c r="E1152" s="11">
        <v>72.122439024390246</v>
      </c>
      <c r="F1152" s="10">
        <f>Table1[[#This Row],[Life expectancy at birth, total (years) '[SP.DYN.LE00.IN']]]/Table1[[#This Row],[Current health expenditure per capita (current US$) '[SH.XPD.CHEX.PC.CD']]]</f>
        <v>0.20055748918170724</v>
      </c>
      <c r="G1152" s="4">
        <f>Table1[[#This Row],[Life expectancy at birth, total (years) '[SP.DYN.LE00.IN']]]/Table1[[#This Row],[Current health expenditure per capita (current US$) '[SH.XPD.CHEX.PC.CD']]]*1000</f>
        <v>200.55748918170724</v>
      </c>
    </row>
    <row r="1153" spans="1:7" hidden="1" x14ac:dyDescent="0.25">
      <c r="B1153" s="1"/>
      <c r="D1153" s="3"/>
      <c r="E1153"/>
      <c r="F1153" t="e">
        <f>Table1[[#This Row],[Life expectancy at birth, total (years) '[SP.DYN.LE00.IN']]]/Table1[[#This Row],[Current health expenditure per capita (current US$) '[SH.XPD.CHEX.PC.CD']]]</f>
        <v>#DIV/0!</v>
      </c>
      <c r="G1153" s="2" t="e">
        <f>Table1[[#This Row],[Life expectancy at birth, total (years) '[SP.DYN.LE00.IN']]]/Table1[[#This Row],[Current health expenditure per capita (current US$) '[SH.XPD.CHEX.PC.CD']]]*1000</f>
        <v>#DIV/0!</v>
      </c>
    </row>
    <row r="1154" spans="1:7" x14ac:dyDescent="0.25">
      <c r="A1154" s="5" t="s">
        <v>45</v>
      </c>
      <c r="B1154" s="6" t="s">
        <v>302</v>
      </c>
      <c r="C1154" s="5">
        <v>2015</v>
      </c>
      <c r="D1154" s="7">
        <v>582.18743896000001</v>
      </c>
      <c r="E1154" s="11">
        <v>76.60243902439025</v>
      </c>
      <c r="F1154" s="10">
        <f>Table1[[#This Row],[Life expectancy at birth, total (years) '[SP.DYN.LE00.IN']]]/Table1[[#This Row],[Current health expenditure per capita (current US$) '[SH.XPD.CHEX.PC.CD']]]</f>
        <v>0.13157693536162557</v>
      </c>
      <c r="G1154" s="4">
        <f>Table1[[#This Row],[Life expectancy at birth, total (years) '[SP.DYN.LE00.IN']]]/Table1[[#This Row],[Current health expenditure per capita (current US$) '[SH.XPD.CHEX.PC.CD']]]*1000</f>
        <v>131.57693536162557</v>
      </c>
    </row>
    <row r="1155" spans="1:7" x14ac:dyDescent="0.25">
      <c r="A1155" s="5" t="s">
        <v>45</v>
      </c>
      <c r="B1155" s="6" t="s">
        <v>302</v>
      </c>
      <c r="C1155" s="5">
        <v>2016</v>
      </c>
      <c r="D1155" s="7">
        <v>604.88665771000001</v>
      </c>
      <c r="E1155" s="11">
        <v>76.541463414634165</v>
      </c>
      <c r="F1155" s="10">
        <f>Table1[[#This Row],[Life expectancy at birth, total (years) '[SP.DYN.LE00.IN']]]/Table1[[#This Row],[Current health expenditure per capita (current US$) '[SH.XPD.CHEX.PC.CD']]]</f>
        <v>0.12653852162057497</v>
      </c>
      <c r="G1155" s="4">
        <f>Table1[[#This Row],[Life expectancy at birth, total (years) '[SP.DYN.LE00.IN']]]/Table1[[#This Row],[Current health expenditure per capita (current US$) '[SH.XPD.CHEX.PC.CD']]]*1000</f>
        <v>126.53852162057497</v>
      </c>
    </row>
    <row r="1156" spans="1:7" x14ac:dyDescent="0.25">
      <c r="A1156" s="5" t="s">
        <v>45</v>
      </c>
      <c r="B1156" s="6" t="s">
        <v>302</v>
      </c>
      <c r="C1156" s="5">
        <v>2017</v>
      </c>
      <c r="D1156" s="7">
        <v>623.68841553000004</v>
      </c>
      <c r="E1156" s="11">
        <v>76.685365853658539</v>
      </c>
      <c r="F1156" s="10">
        <f>Table1[[#This Row],[Life expectancy at birth, total (years) '[SP.DYN.LE00.IN']]]/Table1[[#This Row],[Current health expenditure per capita (current US$) '[SH.XPD.CHEX.PC.CD']]]</f>
        <v>0.1229546099369067</v>
      </c>
      <c r="G1156" s="4">
        <f>Table1[[#This Row],[Life expectancy at birth, total (years) '[SP.DYN.LE00.IN']]]/Table1[[#This Row],[Current health expenditure per capita (current US$) '[SH.XPD.CHEX.PC.CD']]]*1000</f>
        <v>122.95460993690669</v>
      </c>
    </row>
    <row r="1157" spans="1:7" x14ac:dyDescent="0.25">
      <c r="A1157" s="5" t="s">
        <v>45</v>
      </c>
      <c r="B1157" s="6" t="s">
        <v>302</v>
      </c>
      <c r="C1157" s="5">
        <v>2018</v>
      </c>
      <c r="D1157" s="7">
        <v>745.75207520000004</v>
      </c>
      <c r="E1157" s="11">
        <v>77.885365853658541</v>
      </c>
      <c r="F1157" s="10">
        <f>Table1[[#This Row],[Life expectancy at birth, total (years) '[SP.DYN.LE00.IN']]]/Table1[[#This Row],[Current health expenditure per capita (current US$) '[SH.XPD.CHEX.PC.CD']]]</f>
        <v>0.1044386847100235</v>
      </c>
      <c r="G1157" s="4">
        <f>Table1[[#This Row],[Life expectancy at birth, total (years) '[SP.DYN.LE00.IN']]]/Table1[[#This Row],[Current health expenditure per capita (current US$) '[SH.XPD.CHEX.PC.CD']]]*1000</f>
        <v>104.43868471002351</v>
      </c>
    </row>
    <row r="1158" spans="1:7" x14ac:dyDescent="0.25">
      <c r="A1158" s="5" t="s">
        <v>45</v>
      </c>
      <c r="B1158" s="6" t="s">
        <v>302</v>
      </c>
      <c r="C1158" s="5">
        <v>2019</v>
      </c>
      <c r="D1158" s="7">
        <v>754.77441406000003</v>
      </c>
      <c r="E1158" s="11">
        <v>76.682926829268297</v>
      </c>
      <c r="F1158" s="10">
        <f>Table1[[#This Row],[Life expectancy at birth, total (years) '[SP.DYN.LE00.IN']]]/Table1[[#This Row],[Current health expenditure per capita (current US$) '[SH.XPD.CHEX.PC.CD']]]</f>
        <v>0.10159714664515969</v>
      </c>
      <c r="G1158" s="4">
        <f>Table1[[#This Row],[Life expectancy at birth, total (years) '[SP.DYN.LE00.IN']]]/Table1[[#This Row],[Current health expenditure per capita (current US$) '[SH.XPD.CHEX.PC.CD']]]*1000</f>
        <v>101.59714664515968</v>
      </c>
    </row>
    <row r="1159" spans="1:7" x14ac:dyDescent="0.25">
      <c r="A1159" s="5" t="s">
        <v>45</v>
      </c>
      <c r="B1159" s="6" t="s">
        <v>302</v>
      </c>
      <c r="C1159" s="5">
        <v>2020</v>
      </c>
      <c r="D1159" s="7">
        <v>896.24884033000001</v>
      </c>
      <c r="E1159" s="11">
        <v>75.931707317073176</v>
      </c>
      <c r="F1159" s="10">
        <f>Table1[[#This Row],[Life expectancy at birth, total (years) '[SP.DYN.LE00.IN']]]/Table1[[#This Row],[Current health expenditure per capita (current US$) '[SH.XPD.CHEX.PC.CD']]]</f>
        <v>8.4721679850782314E-2</v>
      </c>
      <c r="G1159" s="4">
        <f>Table1[[#This Row],[Life expectancy at birth, total (years) '[SP.DYN.LE00.IN']]]/Table1[[#This Row],[Current health expenditure per capita (current US$) '[SH.XPD.CHEX.PC.CD']]]*1000</f>
        <v>84.721679850782309</v>
      </c>
    </row>
    <row r="1160" spans="1:7" x14ac:dyDescent="0.25">
      <c r="A1160" s="5" t="s">
        <v>45</v>
      </c>
      <c r="B1160" s="6" t="s">
        <v>302</v>
      </c>
      <c r="C1160" s="5">
        <v>2021</v>
      </c>
      <c r="D1160" s="7">
        <v>1024.2565918</v>
      </c>
      <c r="E1160" s="11">
        <v>73.824390243902442</v>
      </c>
      <c r="F1160" s="10">
        <f>Table1[[#This Row],[Life expectancy at birth, total (years) '[SP.DYN.LE00.IN']]]/Table1[[#This Row],[Current health expenditure per capita (current US$) '[SH.XPD.CHEX.PC.CD']]]</f>
        <v>7.2076070425053859E-2</v>
      </c>
      <c r="G1160" s="4">
        <f>Table1[[#This Row],[Life expectancy at birth, total (years) '[SP.DYN.LE00.IN']]]/Table1[[#This Row],[Current health expenditure per capita (current US$) '[SH.XPD.CHEX.PC.CD']]]*1000</f>
        <v>72.076070425053857</v>
      </c>
    </row>
    <row r="1161" spans="1:7" x14ac:dyDescent="0.25">
      <c r="A1161" s="5" t="s">
        <v>45</v>
      </c>
      <c r="B1161" s="6" t="s">
        <v>302</v>
      </c>
      <c r="C1161" s="5">
        <v>2022</v>
      </c>
      <c r="D1161" s="7">
        <v>1032.9114990200001</v>
      </c>
      <c r="E1161" s="11">
        <v>76.187804878048794</v>
      </c>
      <c r="F1161" s="10">
        <f>Table1[[#This Row],[Life expectancy at birth, total (years) '[SP.DYN.LE00.IN']]]/Table1[[#This Row],[Current health expenditure per capita (current US$) '[SH.XPD.CHEX.PC.CD']]]</f>
        <v>7.3760244658263391E-2</v>
      </c>
      <c r="G1161" s="4">
        <f>Table1[[#This Row],[Life expectancy at birth, total (years) '[SP.DYN.LE00.IN']]]/Table1[[#This Row],[Current health expenditure per capita (current US$) '[SH.XPD.CHEX.PC.CD']]]*1000</f>
        <v>73.760244658263389</v>
      </c>
    </row>
    <row r="1162" spans="1:7" x14ac:dyDescent="0.25">
      <c r="A1162" s="5" t="s">
        <v>45</v>
      </c>
      <c r="B1162" s="6" t="s">
        <v>302</v>
      </c>
      <c r="C1162" s="5">
        <v>2023</v>
      </c>
      <c r="D1162" s="7">
        <v>1147.6978759799999</v>
      </c>
      <c r="E1162" s="11">
        <v>77.587804878048786</v>
      </c>
      <c r="F1162" s="10">
        <f>Table1[[#This Row],[Life expectancy at birth, total (years) '[SP.DYN.LE00.IN']]]/Table1[[#This Row],[Current health expenditure per capita (current US$) '[SH.XPD.CHEX.PC.CD']]]</f>
        <v>6.7602987251150798E-2</v>
      </c>
      <c r="G1162" s="4">
        <f>Table1[[#This Row],[Life expectancy at birth, total (years) '[SP.DYN.LE00.IN']]]/Table1[[#This Row],[Current health expenditure per capita (current US$) '[SH.XPD.CHEX.PC.CD']]]*1000</f>
        <v>67.602987251150793</v>
      </c>
    </row>
    <row r="1163" spans="1:7" hidden="1" x14ac:dyDescent="0.25">
      <c r="B1163" s="1"/>
      <c r="D1163" s="3"/>
      <c r="E1163"/>
      <c r="F1163" t="e">
        <f>Table1[[#This Row],[Life expectancy at birth, total (years) '[SP.DYN.LE00.IN']]]/Table1[[#This Row],[Current health expenditure per capita (current US$) '[SH.XPD.CHEX.PC.CD']]]</f>
        <v>#DIV/0!</v>
      </c>
      <c r="G1163" s="2" t="e">
        <f>Table1[[#This Row],[Life expectancy at birth, total (years) '[SP.DYN.LE00.IN']]]/Table1[[#This Row],[Current health expenditure per capita (current US$) '[SH.XPD.CHEX.PC.CD']]]*1000</f>
        <v>#DIV/0!</v>
      </c>
    </row>
    <row r="1164" spans="1:7" x14ac:dyDescent="0.25">
      <c r="A1164" s="5" t="s">
        <v>396</v>
      </c>
      <c r="B1164" s="6" t="s">
        <v>41</v>
      </c>
      <c r="C1164" s="5">
        <v>2015</v>
      </c>
      <c r="D1164" s="7">
        <v>162.85198975</v>
      </c>
      <c r="E1164" s="11">
        <v>72.894000000000005</v>
      </c>
      <c r="F1164" s="10">
        <f>Table1[[#This Row],[Life expectancy at birth, total (years) '[SP.DYN.LE00.IN']]]/Table1[[#This Row],[Current health expenditure per capita (current US$) '[SH.XPD.CHEX.PC.CD']]]</f>
        <v>0.44760890003187698</v>
      </c>
      <c r="G1164" s="4">
        <f>Table1[[#This Row],[Life expectancy at birth, total (years) '[SP.DYN.LE00.IN']]]/Table1[[#This Row],[Current health expenditure per capita (current US$) '[SH.XPD.CHEX.PC.CD']]]*1000</f>
        <v>447.608900031877</v>
      </c>
    </row>
    <row r="1165" spans="1:7" x14ac:dyDescent="0.25">
      <c r="A1165" s="5" t="s">
        <v>396</v>
      </c>
      <c r="B1165" s="6" t="s">
        <v>41</v>
      </c>
      <c r="C1165" s="5">
        <v>2016</v>
      </c>
      <c r="D1165" s="7">
        <v>162.21507263000001</v>
      </c>
      <c r="E1165" s="11">
        <v>73.227999999999994</v>
      </c>
      <c r="F1165" s="10">
        <f>Table1[[#This Row],[Life expectancy at birth, total (years) '[SP.DYN.LE00.IN']]]/Table1[[#This Row],[Current health expenditure per capita (current US$) '[SH.XPD.CHEX.PC.CD']]]</f>
        <v>0.45142537504531022</v>
      </c>
      <c r="G1165" s="4">
        <f>Table1[[#This Row],[Life expectancy at birth, total (years) '[SP.DYN.LE00.IN']]]/Table1[[#This Row],[Current health expenditure per capita (current US$) '[SH.XPD.CHEX.PC.CD']]]*1000</f>
        <v>451.4253750453102</v>
      </c>
    </row>
    <row r="1166" spans="1:7" x14ac:dyDescent="0.25">
      <c r="A1166" s="5" t="s">
        <v>396</v>
      </c>
      <c r="B1166" s="6" t="s">
        <v>41</v>
      </c>
      <c r="C1166" s="5">
        <v>2017</v>
      </c>
      <c r="D1166" s="7">
        <v>166.8500061</v>
      </c>
      <c r="E1166" s="11">
        <v>73.608000000000004</v>
      </c>
      <c r="F1166" s="10">
        <f>Table1[[#This Row],[Life expectancy at birth, total (years) '[SP.DYN.LE00.IN']]]/Table1[[#This Row],[Current health expenditure per capita (current US$) '[SH.XPD.CHEX.PC.CD']]]</f>
        <v>0.44116270487807913</v>
      </c>
      <c r="G1166" s="4">
        <f>Table1[[#This Row],[Life expectancy at birth, total (years) '[SP.DYN.LE00.IN']]]/Table1[[#This Row],[Current health expenditure per capita (current US$) '[SH.XPD.CHEX.PC.CD']]]*1000</f>
        <v>441.16270487807913</v>
      </c>
    </row>
    <row r="1167" spans="1:7" x14ac:dyDescent="0.25">
      <c r="A1167" s="5" t="s">
        <v>396</v>
      </c>
      <c r="B1167" s="6" t="s">
        <v>41</v>
      </c>
      <c r="C1167" s="5">
        <v>2018</v>
      </c>
      <c r="D1167" s="7">
        <v>175.70518494000001</v>
      </c>
      <c r="E1167" s="11">
        <v>73.945999999999998</v>
      </c>
      <c r="F1167" s="10">
        <f>Table1[[#This Row],[Life expectancy at birth, total (years) '[SP.DYN.LE00.IN']]]/Table1[[#This Row],[Current health expenditure per capita (current US$) '[SH.XPD.CHEX.PC.CD']]]</f>
        <v>0.42085269154266081</v>
      </c>
      <c r="G1167" s="4">
        <f>Table1[[#This Row],[Life expectancy at birth, total (years) '[SP.DYN.LE00.IN']]]/Table1[[#This Row],[Current health expenditure per capita (current US$) '[SH.XPD.CHEX.PC.CD']]]*1000</f>
        <v>420.85269154266081</v>
      </c>
    </row>
    <row r="1168" spans="1:7" x14ac:dyDescent="0.25">
      <c r="A1168" s="5" t="s">
        <v>396</v>
      </c>
      <c r="B1168" s="6" t="s">
        <v>41</v>
      </c>
      <c r="C1168" s="5">
        <v>2019</v>
      </c>
      <c r="D1168" s="7">
        <v>178.73939514</v>
      </c>
      <c r="E1168" s="11">
        <v>74.245000000000005</v>
      </c>
      <c r="F1168" s="10">
        <f>Table1[[#This Row],[Life expectancy at birth, total (years) '[SP.DYN.LE00.IN']]]/Table1[[#This Row],[Current health expenditure per capita (current US$) '[SH.XPD.CHEX.PC.CD']]]</f>
        <v>0.41538128705116534</v>
      </c>
      <c r="G1168" s="4">
        <f>Table1[[#This Row],[Life expectancy at birth, total (years) '[SP.DYN.LE00.IN']]]/Table1[[#This Row],[Current health expenditure per capita (current US$) '[SH.XPD.CHEX.PC.CD']]]*1000</f>
        <v>415.38128705116532</v>
      </c>
    </row>
    <row r="1169" spans="1:7" x14ac:dyDescent="0.25">
      <c r="A1169" s="5" t="s">
        <v>396</v>
      </c>
      <c r="B1169" s="6" t="s">
        <v>41</v>
      </c>
      <c r="C1169" s="5">
        <v>2020</v>
      </c>
      <c r="D1169" s="7">
        <v>192.04043579</v>
      </c>
      <c r="E1169" s="11">
        <v>73.132999999999996</v>
      </c>
      <c r="F1169" s="10">
        <f>Table1[[#This Row],[Life expectancy at birth, total (years) '[SP.DYN.LE00.IN']]]/Table1[[#This Row],[Current health expenditure per capita (current US$) '[SH.XPD.CHEX.PC.CD']]]</f>
        <v>0.38082083962761037</v>
      </c>
      <c r="G1169" s="4">
        <f>Table1[[#This Row],[Life expectancy at birth, total (years) '[SP.DYN.LE00.IN']]]/Table1[[#This Row],[Current health expenditure per capita (current US$) '[SH.XPD.CHEX.PC.CD']]]*1000</f>
        <v>380.82083962761038</v>
      </c>
    </row>
    <row r="1170" spans="1:7" x14ac:dyDescent="0.25">
      <c r="A1170" s="5" t="s">
        <v>396</v>
      </c>
      <c r="B1170" s="6" t="s">
        <v>41</v>
      </c>
      <c r="C1170" s="5">
        <v>2021</v>
      </c>
      <c r="D1170" s="7">
        <v>209.57344054999999</v>
      </c>
      <c r="E1170" s="11">
        <v>73.385000000000005</v>
      </c>
      <c r="F1170" s="10">
        <f>Table1[[#This Row],[Life expectancy at birth, total (years) '[SP.DYN.LE00.IN']]]/Table1[[#This Row],[Current health expenditure per capita (current US$) '[SH.XPD.CHEX.PC.CD']]]</f>
        <v>0.35016364577214559</v>
      </c>
      <c r="G1170" s="4">
        <f>Table1[[#This Row],[Life expectancy at birth, total (years) '[SP.DYN.LE00.IN']]]/Table1[[#This Row],[Current health expenditure per capita (current US$) '[SH.XPD.CHEX.PC.CD']]]*1000</f>
        <v>350.16364577214557</v>
      </c>
    </row>
    <row r="1171" spans="1:7" x14ac:dyDescent="0.25">
      <c r="A1171" s="5" t="s">
        <v>396</v>
      </c>
      <c r="B1171" s="6" t="s">
        <v>41</v>
      </c>
      <c r="C1171" s="5">
        <v>2022</v>
      </c>
      <c r="D1171" s="7">
        <v>201.81098938</v>
      </c>
      <c r="E1171" s="11">
        <v>75.161000000000001</v>
      </c>
      <c r="F1171" s="10">
        <f>Table1[[#This Row],[Life expectancy at birth, total (years) '[SP.DYN.LE00.IN']]]/Table1[[#This Row],[Current health expenditure per capita (current US$) '[SH.XPD.CHEX.PC.CD']]]</f>
        <v>0.37243264220104288</v>
      </c>
      <c r="G1171" s="4">
        <f>Table1[[#This Row],[Life expectancy at birth, total (years) '[SP.DYN.LE00.IN']]]/Table1[[#This Row],[Current health expenditure per capita (current US$) '[SH.XPD.CHEX.PC.CD']]]*1000</f>
        <v>372.43264220104288</v>
      </c>
    </row>
    <row r="1172" spans="1:7" x14ac:dyDescent="0.25">
      <c r="A1172" s="5" t="s">
        <v>396</v>
      </c>
      <c r="B1172" s="6" t="s">
        <v>41</v>
      </c>
      <c r="C1172" s="5">
        <v>2023</v>
      </c>
      <c r="D1172" s="7">
        <v>232.24751282</v>
      </c>
      <c r="E1172" s="11">
        <v>75.313000000000002</v>
      </c>
      <c r="F1172" s="10">
        <f>Table1[[#This Row],[Life expectancy at birth, total (years) '[SP.DYN.LE00.IN']]]/Table1[[#This Row],[Current health expenditure per capita (current US$) '[SH.XPD.CHEX.PC.CD']]]</f>
        <v>0.32427903784860002</v>
      </c>
      <c r="G1172" s="4">
        <f>Table1[[#This Row],[Life expectancy at birth, total (years) '[SP.DYN.LE00.IN']]]/Table1[[#This Row],[Current health expenditure per capita (current US$) '[SH.XPD.CHEX.PC.CD']]]*1000</f>
        <v>324.27903784860001</v>
      </c>
    </row>
    <row r="1173" spans="1:7" hidden="1" x14ac:dyDescent="0.25">
      <c r="B1173" s="1"/>
      <c r="D1173" s="3"/>
      <c r="E1173"/>
      <c r="F1173" t="e">
        <f>Table1[[#This Row],[Life expectancy at birth, total (years) '[SP.DYN.LE00.IN']]]/Table1[[#This Row],[Current health expenditure per capita (current US$) '[SH.XPD.CHEX.PC.CD']]]</f>
        <v>#DIV/0!</v>
      </c>
      <c r="G1173" s="2" t="e">
        <f>Table1[[#This Row],[Life expectancy at birth, total (years) '[SP.DYN.LE00.IN']]]/Table1[[#This Row],[Current health expenditure per capita (current US$) '[SH.XPD.CHEX.PC.CD']]]*1000</f>
        <v>#DIV/0!</v>
      </c>
    </row>
    <row r="1174" spans="1:7" x14ac:dyDescent="0.25">
      <c r="A1174" s="5" t="s">
        <v>114</v>
      </c>
      <c r="B1174" s="6" t="s">
        <v>312</v>
      </c>
      <c r="C1174" s="5">
        <v>2015</v>
      </c>
      <c r="D1174" s="7">
        <v>40.356586460000003</v>
      </c>
      <c r="E1174" s="11">
        <v>58.710999999999999</v>
      </c>
      <c r="F1174" s="10">
        <f>Table1[[#This Row],[Life expectancy at birth, total (years) '[SP.DYN.LE00.IN']]]/Table1[[#This Row],[Current health expenditure per capita (current US$) '[SH.XPD.CHEX.PC.CD']]]</f>
        <v>1.4548058978722651</v>
      </c>
      <c r="G1174" s="4">
        <f>Table1[[#This Row],[Life expectancy at birth, total (years) '[SP.DYN.LE00.IN']]]/Table1[[#This Row],[Current health expenditure per capita (current US$) '[SH.XPD.CHEX.PC.CD']]]*1000</f>
        <v>1454.8058978722652</v>
      </c>
    </row>
    <row r="1175" spans="1:7" x14ac:dyDescent="0.25">
      <c r="A1175" s="5" t="s">
        <v>114</v>
      </c>
      <c r="B1175" s="6" t="s">
        <v>312</v>
      </c>
      <c r="C1175" s="5">
        <v>2016</v>
      </c>
      <c r="D1175" s="7">
        <v>31.853572849999999</v>
      </c>
      <c r="E1175" s="11">
        <v>59.454999999999998</v>
      </c>
      <c r="F1175" s="10">
        <f>Table1[[#This Row],[Life expectancy at birth, total (years) '[SP.DYN.LE00.IN']]]/Table1[[#This Row],[Current health expenditure per capita (current US$) '[SH.XPD.CHEX.PC.CD']]]</f>
        <v>1.8665096151058609</v>
      </c>
      <c r="G1175" s="4">
        <f>Table1[[#This Row],[Life expectancy at birth, total (years) '[SP.DYN.LE00.IN']]]/Table1[[#This Row],[Current health expenditure per capita (current US$) '[SH.XPD.CHEX.PC.CD']]]*1000</f>
        <v>1866.5096151058608</v>
      </c>
    </row>
    <row r="1176" spans="1:7" x14ac:dyDescent="0.25">
      <c r="A1176" s="5" t="s">
        <v>114</v>
      </c>
      <c r="B1176" s="6" t="s">
        <v>312</v>
      </c>
      <c r="C1176" s="5">
        <v>2017</v>
      </c>
      <c r="D1176" s="7">
        <v>36.758258820000002</v>
      </c>
      <c r="E1176" s="11">
        <v>60.148000000000003</v>
      </c>
      <c r="F1176" s="10">
        <f>Table1[[#This Row],[Life expectancy at birth, total (years) '[SP.DYN.LE00.IN']]]/Table1[[#This Row],[Current health expenditure per capita (current US$) '[SH.XPD.CHEX.PC.CD']]]</f>
        <v>1.6363125439247888</v>
      </c>
      <c r="G1176" s="4">
        <f>Table1[[#This Row],[Life expectancy at birth, total (years) '[SP.DYN.LE00.IN']]]/Table1[[#This Row],[Current health expenditure per capita (current US$) '[SH.XPD.CHEX.PC.CD']]]*1000</f>
        <v>1636.3125439247888</v>
      </c>
    </row>
    <row r="1177" spans="1:7" x14ac:dyDescent="0.25">
      <c r="A1177" s="5" t="s">
        <v>114</v>
      </c>
      <c r="B1177" s="6" t="s">
        <v>312</v>
      </c>
      <c r="C1177" s="5">
        <v>2018</v>
      </c>
      <c r="D1177" s="7">
        <v>41.292064670000002</v>
      </c>
      <c r="E1177" s="11">
        <v>60.79</v>
      </c>
      <c r="F1177" s="10">
        <f>Table1[[#This Row],[Life expectancy at birth, total (years) '[SP.DYN.LE00.IN']]]/Table1[[#This Row],[Current health expenditure per capita (current US$) '[SH.XPD.CHEX.PC.CD']]]</f>
        <v>1.4721956987577294</v>
      </c>
      <c r="G1177" s="4">
        <f>Table1[[#This Row],[Life expectancy at birth, total (years) '[SP.DYN.LE00.IN']]]/Table1[[#This Row],[Current health expenditure per capita (current US$) '[SH.XPD.CHEX.PC.CD']]]*1000</f>
        <v>1472.1956987577294</v>
      </c>
    </row>
    <row r="1178" spans="1:7" x14ac:dyDescent="0.25">
      <c r="A1178" s="5" t="s">
        <v>114</v>
      </c>
      <c r="B1178" s="6" t="s">
        <v>312</v>
      </c>
      <c r="C1178" s="5">
        <v>2019</v>
      </c>
      <c r="D1178" s="7">
        <v>41.019065859999998</v>
      </c>
      <c r="E1178" s="11">
        <v>61.305999999999997</v>
      </c>
      <c r="F1178" s="10">
        <f>Table1[[#This Row],[Life expectancy at birth, total (years) '[SP.DYN.LE00.IN']]]/Table1[[#This Row],[Current health expenditure per capita (current US$) '[SH.XPD.CHEX.PC.CD']]]</f>
        <v>1.4945732847559294</v>
      </c>
      <c r="G1178" s="4">
        <f>Table1[[#This Row],[Life expectancy at birth, total (years) '[SP.DYN.LE00.IN']]]/Table1[[#This Row],[Current health expenditure per capita (current US$) '[SH.XPD.CHEX.PC.CD']]]*1000</f>
        <v>1494.5732847559295</v>
      </c>
    </row>
    <row r="1179" spans="1:7" x14ac:dyDescent="0.25">
      <c r="A1179" s="5" t="s">
        <v>114</v>
      </c>
      <c r="B1179" s="6" t="s">
        <v>312</v>
      </c>
      <c r="C1179" s="5">
        <v>2020</v>
      </c>
      <c r="D1179" s="7">
        <v>34.92252731</v>
      </c>
      <c r="E1179" s="11">
        <v>61.39</v>
      </c>
      <c r="F1179" s="10">
        <f>Table1[[#This Row],[Life expectancy at birth, total (years) '[SP.DYN.LE00.IN']]]/Table1[[#This Row],[Current health expenditure per capita (current US$) '[SH.XPD.CHEX.PC.CD']]]</f>
        <v>1.7578911014959988</v>
      </c>
      <c r="G1179" s="4">
        <f>Table1[[#This Row],[Life expectancy at birth, total (years) '[SP.DYN.LE00.IN']]]/Table1[[#This Row],[Current health expenditure per capita (current US$) '[SH.XPD.CHEX.PC.CD']]]*1000</f>
        <v>1757.8911014959988</v>
      </c>
    </row>
    <row r="1180" spans="1:7" x14ac:dyDescent="0.25">
      <c r="A1180" s="5" t="s">
        <v>114</v>
      </c>
      <c r="B1180" s="6" t="s">
        <v>312</v>
      </c>
      <c r="C1180" s="5">
        <v>2021</v>
      </c>
      <c r="D1180" s="7">
        <v>44.098949429999998</v>
      </c>
      <c r="E1180" s="11">
        <v>60.268000000000001</v>
      </c>
      <c r="F1180" s="10">
        <f>Table1[[#This Row],[Life expectancy at birth, total (years) '[SP.DYN.LE00.IN']]]/Table1[[#This Row],[Current health expenditure per capita (current US$) '[SH.XPD.CHEX.PC.CD']]]</f>
        <v>1.366653872234888</v>
      </c>
      <c r="G1180" s="4">
        <f>Table1[[#This Row],[Life expectancy at birth, total (years) '[SP.DYN.LE00.IN']]]/Table1[[#This Row],[Current health expenditure per capita (current US$) '[SH.XPD.CHEX.PC.CD']]]*1000</f>
        <v>1366.653872234888</v>
      </c>
    </row>
    <row r="1181" spans="1:7" x14ac:dyDescent="0.25">
      <c r="A1181" s="5" t="s">
        <v>114</v>
      </c>
      <c r="B1181" s="6" t="s">
        <v>312</v>
      </c>
      <c r="C1181" s="5">
        <v>2022</v>
      </c>
      <c r="D1181" s="7">
        <v>47.698135379999997</v>
      </c>
      <c r="E1181" s="11">
        <v>63.011000000000003</v>
      </c>
      <c r="F1181" s="10">
        <f>Table1[[#This Row],[Life expectancy at birth, total (years) '[SP.DYN.LE00.IN']]]/Table1[[#This Row],[Current health expenditure per capita (current US$) '[SH.XPD.CHEX.PC.CD']]]</f>
        <v>1.3210369650303091</v>
      </c>
      <c r="G1181" s="4">
        <f>Table1[[#This Row],[Life expectancy at birth, total (years) '[SP.DYN.LE00.IN']]]/Table1[[#This Row],[Current health expenditure per capita (current US$) '[SH.XPD.CHEX.PC.CD']]]*1000</f>
        <v>1321.0369650303091</v>
      </c>
    </row>
    <row r="1182" spans="1:7" x14ac:dyDescent="0.25">
      <c r="A1182" s="5" t="s">
        <v>114</v>
      </c>
      <c r="B1182" s="6" t="s">
        <v>312</v>
      </c>
      <c r="C1182" s="5">
        <v>2023</v>
      </c>
      <c r="D1182" s="7">
        <v>52.961666110000003</v>
      </c>
      <c r="E1182" s="11">
        <v>63.610999999999997</v>
      </c>
      <c r="F1182" s="10">
        <f>Table1[[#This Row],[Life expectancy at birth, total (years) '[SP.DYN.LE00.IN']]]/Table1[[#This Row],[Current health expenditure per capita (current US$) '[SH.XPD.CHEX.PC.CD']]]</f>
        <v>1.2010762627422182</v>
      </c>
      <c r="G1182" s="4">
        <f>Table1[[#This Row],[Life expectancy at birth, total (years) '[SP.DYN.LE00.IN']]]/Table1[[#This Row],[Current health expenditure per capita (current US$) '[SH.XPD.CHEX.PC.CD']]]*1000</f>
        <v>1201.0762627422182</v>
      </c>
    </row>
    <row r="1183" spans="1:7" hidden="1" x14ac:dyDescent="0.25">
      <c r="B1183" s="1"/>
      <c r="D1183" s="3"/>
      <c r="E1183"/>
      <c r="F1183" t="e">
        <f>Table1[[#This Row],[Life expectancy at birth, total (years) '[SP.DYN.LE00.IN']]]/Table1[[#This Row],[Current health expenditure per capita (current US$) '[SH.XPD.CHEX.PC.CD']]]</f>
        <v>#DIV/0!</v>
      </c>
      <c r="G1183" s="2" t="e">
        <f>Table1[[#This Row],[Life expectancy at birth, total (years) '[SP.DYN.LE00.IN']]]/Table1[[#This Row],[Current health expenditure per capita (current US$) '[SH.XPD.CHEX.PC.CD']]]*1000</f>
        <v>#DIV/0!</v>
      </c>
    </row>
    <row r="1184" spans="1:7" x14ac:dyDescent="0.25">
      <c r="A1184" s="5" t="s">
        <v>60</v>
      </c>
      <c r="B1184" s="6" t="s">
        <v>363</v>
      </c>
      <c r="C1184" s="5">
        <v>2015</v>
      </c>
      <c r="D1184" s="7">
        <v>63.62335968</v>
      </c>
      <c r="E1184" s="11">
        <v>65.287999999999997</v>
      </c>
      <c r="F1184" s="10">
        <f>Table1[[#This Row],[Life expectancy at birth, total (years) '[SP.DYN.LE00.IN']]]/Table1[[#This Row],[Current health expenditure per capita (current US$) '[SH.XPD.CHEX.PC.CD']]]</f>
        <v>1.0261639801540263</v>
      </c>
      <c r="G1184" s="4">
        <f>Table1[[#This Row],[Life expectancy at birth, total (years) '[SP.DYN.LE00.IN']]]/Table1[[#This Row],[Current health expenditure per capita (current US$) '[SH.XPD.CHEX.PC.CD']]]*1000</f>
        <v>1026.1639801540264</v>
      </c>
    </row>
    <row r="1185" spans="1:7" x14ac:dyDescent="0.25">
      <c r="A1185" s="5" t="s">
        <v>60</v>
      </c>
      <c r="B1185" s="6" t="s">
        <v>363</v>
      </c>
      <c r="C1185" s="5">
        <v>2016</v>
      </c>
      <c r="D1185" s="7">
        <v>59.679103849999997</v>
      </c>
      <c r="E1185" s="11">
        <v>65.64</v>
      </c>
      <c r="F1185" s="10">
        <f>Table1[[#This Row],[Life expectancy at birth, total (years) '[SP.DYN.LE00.IN']]]/Table1[[#This Row],[Current health expenditure per capita (current US$) '[SH.XPD.CHEX.PC.CD']]]</f>
        <v>1.0998824674878225</v>
      </c>
      <c r="G1185" s="4">
        <f>Table1[[#This Row],[Life expectancy at birth, total (years) '[SP.DYN.LE00.IN']]]/Table1[[#This Row],[Current health expenditure per capita (current US$) '[SH.XPD.CHEX.PC.CD']]]*1000</f>
        <v>1099.8824674878224</v>
      </c>
    </row>
    <row r="1186" spans="1:7" x14ac:dyDescent="0.25">
      <c r="A1186" s="5" t="s">
        <v>60</v>
      </c>
      <c r="B1186" s="6" t="s">
        <v>363</v>
      </c>
      <c r="C1186" s="5">
        <v>2017</v>
      </c>
      <c r="D1186" s="7">
        <v>59.517826079999999</v>
      </c>
      <c r="E1186" s="11">
        <v>65.909000000000006</v>
      </c>
      <c r="F1186" s="10">
        <f>Table1[[#This Row],[Life expectancy at birth, total (years) '[SP.DYN.LE00.IN']]]/Table1[[#This Row],[Current health expenditure per capita (current US$) '[SH.XPD.CHEX.PC.CD']]]</f>
        <v>1.1073825161458251</v>
      </c>
      <c r="G1186" s="4">
        <f>Table1[[#This Row],[Life expectancy at birth, total (years) '[SP.DYN.LE00.IN']]]/Table1[[#This Row],[Current health expenditure per capita (current US$) '[SH.XPD.CHEX.PC.CD']]]*1000</f>
        <v>1107.3825161458251</v>
      </c>
    </row>
    <row r="1187" spans="1:7" x14ac:dyDescent="0.25">
      <c r="A1187" s="5" t="s">
        <v>60</v>
      </c>
      <c r="B1187" s="6" t="s">
        <v>363</v>
      </c>
      <c r="C1187" s="5">
        <v>2018</v>
      </c>
      <c r="D1187" s="7">
        <v>60.832618709999998</v>
      </c>
      <c r="E1187" s="11">
        <v>66.231999999999999</v>
      </c>
      <c r="F1187" s="10">
        <f>Table1[[#This Row],[Life expectancy at birth, total (years) '[SP.DYN.LE00.IN']]]/Table1[[#This Row],[Current health expenditure per capita (current US$) '[SH.XPD.CHEX.PC.CD']]]</f>
        <v>1.0887579953731701</v>
      </c>
      <c r="G1187" s="4">
        <f>Table1[[#This Row],[Life expectancy at birth, total (years) '[SP.DYN.LE00.IN']]]/Table1[[#This Row],[Current health expenditure per capita (current US$) '[SH.XPD.CHEX.PC.CD']]]*1000</f>
        <v>1088.7579953731702</v>
      </c>
    </row>
    <row r="1188" spans="1:7" x14ac:dyDescent="0.25">
      <c r="A1188" s="5" t="s">
        <v>60</v>
      </c>
      <c r="B1188" s="6" t="s">
        <v>363</v>
      </c>
      <c r="C1188" s="5">
        <v>2019</v>
      </c>
      <c r="D1188" s="7">
        <v>53.721473690000003</v>
      </c>
      <c r="E1188" s="11">
        <v>66.456999999999994</v>
      </c>
      <c r="F1188" s="10">
        <f>Table1[[#This Row],[Life expectancy at birth, total (years) '[SP.DYN.LE00.IN']]]/Table1[[#This Row],[Current health expenditure per capita (current US$) '[SH.XPD.CHEX.PC.CD']]]</f>
        <v>1.2370658404400892</v>
      </c>
      <c r="G1188" s="4">
        <f>Table1[[#This Row],[Life expectancy at birth, total (years) '[SP.DYN.LE00.IN']]]/Table1[[#This Row],[Current health expenditure per capita (current US$) '[SH.XPD.CHEX.PC.CD']]]*1000</f>
        <v>1237.0658404400892</v>
      </c>
    </row>
    <row r="1189" spans="1:7" x14ac:dyDescent="0.25">
      <c r="A1189" s="5" t="s">
        <v>60</v>
      </c>
      <c r="B1189" s="6" t="s">
        <v>363</v>
      </c>
      <c r="C1189" s="5">
        <v>2020</v>
      </c>
      <c r="D1189" s="7">
        <v>66.022842409999996</v>
      </c>
      <c r="E1189" s="11">
        <v>66.611999999999995</v>
      </c>
      <c r="F1189" s="10">
        <f>Table1[[#This Row],[Life expectancy at birth, total (years) '[SP.DYN.LE00.IN']]]/Table1[[#This Row],[Current health expenditure per capita (current US$) '[SH.XPD.CHEX.PC.CD']]]</f>
        <v>1.008923541739408</v>
      </c>
      <c r="G1189" s="4">
        <f>Table1[[#This Row],[Life expectancy at birth, total (years) '[SP.DYN.LE00.IN']]]/Table1[[#This Row],[Current health expenditure per capita (current US$) '[SH.XPD.CHEX.PC.CD']]]*1000</f>
        <v>1008.9235417394081</v>
      </c>
    </row>
    <row r="1190" spans="1:7" x14ac:dyDescent="0.25">
      <c r="A1190" s="5" t="s">
        <v>60</v>
      </c>
      <c r="B1190" s="6" t="s">
        <v>363</v>
      </c>
      <c r="C1190" s="5">
        <v>2021</v>
      </c>
      <c r="D1190" s="7">
        <v>96.862403869999994</v>
      </c>
      <c r="E1190" s="11">
        <v>65.552999999999997</v>
      </c>
      <c r="F1190" s="10">
        <f>Table1[[#This Row],[Life expectancy at birth, total (years) '[SP.DYN.LE00.IN']]]/Table1[[#This Row],[Current health expenditure per capita (current US$) '[SH.XPD.CHEX.PC.CD']]]</f>
        <v>0.67676412499507377</v>
      </c>
      <c r="G1190" s="4">
        <f>Table1[[#This Row],[Life expectancy at birth, total (years) '[SP.DYN.LE00.IN']]]/Table1[[#This Row],[Current health expenditure per capita (current US$) '[SH.XPD.CHEX.PC.CD']]]*1000</f>
        <v>676.76412499507376</v>
      </c>
    </row>
    <row r="1191" spans="1:7" x14ac:dyDescent="0.25">
      <c r="A1191" s="5" t="s">
        <v>60</v>
      </c>
      <c r="B1191" s="6" t="s">
        <v>363</v>
      </c>
      <c r="C1191" s="5">
        <v>2022</v>
      </c>
      <c r="D1191" s="7">
        <v>57.968757629999999</v>
      </c>
      <c r="E1191" s="11">
        <v>66.506</v>
      </c>
      <c r="F1191" s="10">
        <f>Table1[[#This Row],[Life expectancy at birth, total (years) '[SP.DYN.LE00.IN']]]/Table1[[#This Row],[Current health expenditure per capita (current US$) '[SH.XPD.CHEX.PC.CD']]]</f>
        <v>1.1472731643567571</v>
      </c>
      <c r="G1191" s="4">
        <f>Table1[[#This Row],[Life expectancy at birth, total (years) '[SP.DYN.LE00.IN']]]/Table1[[#This Row],[Current health expenditure per capita (current US$) '[SH.XPD.CHEX.PC.CD']]]*1000</f>
        <v>1147.273164356757</v>
      </c>
    </row>
    <row r="1192" spans="1:7" x14ac:dyDescent="0.25">
      <c r="A1192" s="5" t="s">
        <v>60</v>
      </c>
      <c r="B1192" s="6" t="s">
        <v>363</v>
      </c>
      <c r="C1192" s="5">
        <v>2023</v>
      </c>
      <c r="D1192" s="7">
        <v>56.189098360000003</v>
      </c>
      <c r="E1192" s="11">
        <v>66.888999999999996</v>
      </c>
      <c r="F1192" s="10">
        <f>Table1[[#This Row],[Life expectancy at birth, total (years) '[SP.DYN.LE00.IN']]]/Table1[[#This Row],[Current health expenditure per capita (current US$) '[SH.XPD.CHEX.PC.CD']]]</f>
        <v>1.1904266477359433</v>
      </c>
      <c r="G1192" s="4">
        <f>Table1[[#This Row],[Life expectancy at birth, total (years) '[SP.DYN.LE00.IN']]]/Table1[[#This Row],[Current health expenditure per capita (current US$) '[SH.XPD.CHEX.PC.CD']]]*1000</f>
        <v>1190.4266477359433</v>
      </c>
    </row>
    <row r="1193" spans="1:7" hidden="1" x14ac:dyDescent="0.25">
      <c r="B1193" s="1"/>
      <c r="D1193" s="3"/>
      <c r="E1193"/>
      <c r="F1193" t="e">
        <f>Table1[[#This Row],[Life expectancy at birth, total (years) '[SP.DYN.LE00.IN']]]/Table1[[#This Row],[Current health expenditure per capita (current US$) '[SH.XPD.CHEX.PC.CD']]]</f>
        <v>#DIV/0!</v>
      </c>
      <c r="G1193" s="2" t="e">
        <f>Table1[[#This Row],[Life expectancy at birth, total (years) '[SP.DYN.LE00.IN']]]/Table1[[#This Row],[Current health expenditure per capita (current US$) '[SH.XPD.CHEX.PC.CD']]]*1000</f>
        <v>#DIV/0!</v>
      </c>
    </row>
    <row r="1194" spans="1:7" x14ac:dyDescent="0.25">
      <c r="A1194" s="5" t="s">
        <v>374</v>
      </c>
      <c r="B1194" s="6" t="s">
        <v>105</v>
      </c>
      <c r="C1194" s="5">
        <v>2015</v>
      </c>
      <c r="D1194" s="7">
        <v>476.50784302</v>
      </c>
      <c r="E1194" s="11">
        <v>60.008000000000003</v>
      </c>
      <c r="F1194" s="10">
        <f>Table1[[#This Row],[Life expectancy at birth, total (years) '[SP.DYN.LE00.IN']]]/Table1[[#This Row],[Current health expenditure per capita (current US$) '[SH.XPD.CHEX.PC.CD']]]</f>
        <v>0.12593286947741036</v>
      </c>
      <c r="G1194" s="4">
        <f>Table1[[#This Row],[Life expectancy at birth, total (years) '[SP.DYN.LE00.IN']]]/Table1[[#This Row],[Current health expenditure per capita (current US$) '[SH.XPD.CHEX.PC.CD']]]*1000</f>
        <v>125.93286947741036</v>
      </c>
    </row>
    <row r="1195" spans="1:7" x14ac:dyDescent="0.25">
      <c r="A1195" s="5" t="s">
        <v>374</v>
      </c>
      <c r="B1195" s="6" t="s">
        <v>105</v>
      </c>
      <c r="C1195" s="5">
        <v>2016</v>
      </c>
      <c r="D1195" s="7">
        <v>409.78051757999998</v>
      </c>
      <c r="E1195" s="11">
        <v>60.81</v>
      </c>
      <c r="F1195" s="10">
        <f>Table1[[#This Row],[Life expectancy at birth, total (years) '[SP.DYN.LE00.IN']]]/Table1[[#This Row],[Current health expenditure per capita (current US$) '[SH.XPD.CHEX.PC.CD']]]</f>
        <v>0.14839651323376613</v>
      </c>
      <c r="G1195" s="4">
        <f>Table1[[#This Row],[Life expectancy at birth, total (years) '[SP.DYN.LE00.IN']]]/Table1[[#This Row],[Current health expenditure per capita (current US$) '[SH.XPD.CHEX.PC.CD']]]*1000</f>
        <v>148.39651323376611</v>
      </c>
    </row>
    <row r="1196" spans="1:7" x14ac:dyDescent="0.25">
      <c r="A1196" s="5" t="s">
        <v>374</v>
      </c>
      <c r="B1196" s="6" t="s">
        <v>105</v>
      </c>
      <c r="C1196" s="5">
        <v>2017</v>
      </c>
      <c r="D1196" s="7">
        <v>447.95223999000001</v>
      </c>
      <c r="E1196" s="11">
        <v>61.661000000000001</v>
      </c>
      <c r="F1196" s="10">
        <f>Table1[[#This Row],[Life expectancy at birth, total (years) '[SP.DYN.LE00.IN']]]/Table1[[#This Row],[Current health expenditure per capita (current US$) '[SH.XPD.CHEX.PC.CD']]]</f>
        <v>0.13765083527961933</v>
      </c>
      <c r="G1196" s="4">
        <f>Table1[[#This Row],[Life expectancy at birth, total (years) '[SP.DYN.LE00.IN']]]/Table1[[#This Row],[Current health expenditure per capita (current US$) '[SH.XPD.CHEX.PC.CD']]]*1000</f>
        <v>137.65083527961932</v>
      </c>
    </row>
    <row r="1197" spans="1:7" x14ac:dyDescent="0.25">
      <c r="A1197" s="5" t="s">
        <v>374</v>
      </c>
      <c r="B1197" s="6" t="s">
        <v>105</v>
      </c>
      <c r="C1197" s="5">
        <v>2018</v>
      </c>
      <c r="D1197" s="7">
        <v>457.68072510000002</v>
      </c>
      <c r="E1197" s="11">
        <v>62.579000000000001</v>
      </c>
      <c r="F1197" s="10">
        <f>Table1[[#This Row],[Life expectancy at birth, total (years) '[SP.DYN.LE00.IN']]]/Table1[[#This Row],[Current health expenditure per capita (current US$) '[SH.XPD.CHEX.PC.CD']]]</f>
        <v>0.13673068706646305</v>
      </c>
      <c r="G1197" s="4">
        <f>Table1[[#This Row],[Life expectancy at birth, total (years) '[SP.DYN.LE00.IN']]]/Table1[[#This Row],[Current health expenditure per capita (current US$) '[SH.XPD.CHEX.PC.CD']]]*1000</f>
        <v>136.73068706646305</v>
      </c>
    </row>
    <row r="1198" spans="1:7" x14ac:dyDescent="0.25">
      <c r="A1198" s="5" t="s">
        <v>374</v>
      </c>
      <c r="B1198" s="6" t="s">
        <v>105</v>
      </c>
      <c r="C1198" s="5">
        <v>2019</v>
      </c>
      <c r="D1198" s="7">
        <v>419.14828490999997</v>
      </c>
      <c r="E1198" s="11">
        <v>63.545999999999999</v>
      </c>
      <c r="F1198" s="10">
        <f>Table1[[#This Row],[Life expectancy at birth, total (years) '[SP.DYN.LE00.IN']]]/Table1[[#This Row],[Current health expenditure per capita (current US$) '[SH.XPD.CHEX.PC.CD']]]</f>
        <v>0.15160744368462506</v>
      </c>
      <c r="G1198" s="4">
        <f>Table1[[#This Row],[Life expectancy at birth, total (years) '[SP.DYN.LE00.IN']]]/Table1[[#This Row],[Current health expenditure per capita (current US$) '[SH.XPD.CHEX.PC.CD']]]*1000</f>
        <v>151.60744368462505</v>
      </c>
    </row>
    <row r="1199" spans="1:7" x14ac:dyDescent="0.25">
      <c r="A1199" s="5" t="s">
        <v>374</v>
      </c>
      <c r="B1199" s="6" t="s">
        <v>105</v>
      </c>
      <c r="C1199" s="5">
        <v>2020</v>
      </c>
      <c r="D1199" s="7">
        <v>370.81643677</v>
      </c>
      <c r="E1199" s="11">
        <v>64.070999999999998</v>
      </c>
      <c r="F1199" s="10">
        <f>Table1[[#This Row],[Life expectancy at birth, total (years) '[SP.DYN.LE00.IN']]]/Table1[[#This Row],[Current health expenditure per capita (current US$) '[SH.XPD.CHEX.PC.CD']]]</f>
        <v>0.17278360300878526</v>
      </c>
      <c r="G1199" s="4">
        <f>Table1[[#This Row],[Life expectancy at birth, total (years) '[SP.DYN.LE00.IN']]]/Table1[[#This Row],[Current health expenditure per capita (current US$) '[SH.XPD.CHEX.PC.CD']]]*1000</f>
        <v>172.78360300878526</v>
      </c>
    </row>
    <row r="1200" spans="1:7" x14ac:dyDescent="0.25">
      <c r="A1200" s="5" t="s">
        <v>374</v>
      </c>
      <c r="B1200" s="6" t="s">
        <v>105</v>
      </c>
      <c r="C1200" s="5">
        <v>2021</v>
      </c>
      <c r="D1200" s="7">
        <v>449.95172119</v>
      </c>
      <c r="E1200" s="11">
        <v>60.85</v>
      </c>
      <c r="F1200" s="10">
        <f>Table1[[#This Row],[Life expectancy at birth, total (years) '[SP.DYN.LE00.IN']]]/Table1[[#This Row],[Current health expenditure per capita (current US$) '[SH.XPD.CHEX.PC.CD']]]</f>
        <v>0.13523673126323041</v>
      </c>
      <c r="G1200" s="4">
        <f>Table1[[#This Row],[Life expectancy at birth, total (years) '[SP.DYN.LE00.IN']]]/Table1[[#This Row],[Current health expenditure per capita (current US$) '[SH.XPD.CHEX.PC.CD']]]*1000</f>
        <v>135.23673126323041</v>
      </c>
    </row>
    <row r="1201" spans="1:7" x14ac:dyDescent="0.25">
      <c r="A1201" s="5" t="s">
        <v>374</v>
      </c>
      <c r="B1201" s="6" t="s">
        <v>105</v>
      </c>
      <c r="C1201" s="5">
        <v>2022</v>
      </c>
      <c r="D1201" s="7">
        <v>418.53683472</v>
      </c>
      <c r="E1201" s="11">
        <v>64.19</v>
      </c>
      <c r="F1201" s="10">
        <f>Table1[[#This Row],[Life expectancy at birth, total (years) '[SP.DYN.LE00.IN']]]/Table1[[#This Row],[Current health expenditure per capita (current US$) '[SH.XPD.CHEX.PC.CD']]]</f>
        <v>0.15336762424493158</v>
      </c>
      <c r="G1201" s="4">
        <f>Table1[[#This Row],[Life expectancy at birth, total (years) '[SP.DYN.LE00.IN']]]/Table1[[#This Row],[Current health expenditure per capita (current US$) '[SH.XPD.CHEX.PC.CD']]]*1000</f>
        <v>153.36762424493159</v>
      </c>
    </row>
    <row r="1202" spans="1:7" x14ac:dyDescent="0.25">
      <c r="A1202" s="5" t="s">
        <v>374</v>
      </c>
      <c r="B1202" s="6" t="s">
        <v>105</v>
      </c>
      <c r="C1202" s="5">
        <v>2023</v>
      </c>
      <c r="D1202" s="7">
        <v>397.09063721000001</v>
      </c>
      <c r="E1202" s="11">
        <v>67.385000000000005</v>
      </c>
      <c r="F1202" s="10">
        <f>Table1[[#This Row],[Life expectancy at birth, total (years) '[SP.DYN.LE00.IN']]]/Table1[[#This Row],[Current health expenditure per capita (current US$) '[SH.XPD.CHEX.PC.CD']]]</f>
        <v>0.16969677369744601</v>
      </c>
      <c r="G1202" s="4">
        <f>Table1[[#This Row],[Life expectancy at birth, total (years) '[SP.DYN.LE00.IN']]]/Table1[[#This Row],[Current health expenditure per capita (current US$) '[SH.XPD.CHEX.PC.CD']]]*1000</f>
        <v>169.69677369744602</v>
      </c>
    </row>
    <row r="1203" spans="1:7" hidden="1" x14ac:dyDescent="0.25">
      <c r="B1203" s="1"/>
      <c r="D1203" s="3"/>
      <c r="E1203"/>
      <c r="F1203" t="e">
        <f>Table1[[#This Row],[Life expectancy at birth, total (years) '[SP.DYN.LE00.IN']]]/Table1[[#This Row],[Current health expenditure per capita (current US$) '[SH.XPD.CHEX.PC.CD']]]</f>
        <v>#DIV/0!</v>
      </c>
      <c r="G1203" s="2" t="e">
        <f>Table1[[#This Row],[Life expectancy at birth, total (years) '[SP.DYN.LE00.IN']]]/Table1[[#This Row],[Current health expenditure per capita (current US$) '[SH.XPD.CHEX.PC.CD']]]*1000</f>
        <v>#DIV/0!</v>
      </c>
    </row>
    <row r="1204" spans="1:7" x14ac:dyDescent="0.25">
      <c r="A1204" s="5" t="s">
        <v>19</v>
      </c>
      <c r="B1204" s="6" t="s">
        <v>52</v>
      </c>
      <c r="C1204" s="5">
        <v>2015</v>
      </c>
      <c r="D1204" s="7">
        <v>973.30883788999995</v>
      </c>
      <c r="E1204" s="11">
        <v>60.896999999999998</v>
      </c>
      <c r="F1204" s="10">
        <f>Table1[[#This Row],[Life expectancy at birth, total (years) '[SP.DYN.LE00.IN']]]/Table1[[#This Row],[Current health expenditure per capita (current US$) '[SH.XPD.CHEX.PC.CD']]]</f>
        <v>6.2566985554160112E-2</v>
      </c>
      <c r="G1204" s="4">
        <f>Table1[[#This Row],[Life expectancy at birth, total (years) '[SP.DYN.LE00.IN']]]/Table1[[#This Row],[Current health expenditure per capita (current US$) '[SH.XPD.CHEX.PC.CD']]]*1000</f>
        <v>62.566985554160112</v>
      </c>
    </row>
    <row r="1205" spans="1:7" x14ac:dyDescent="0.25">
      <c r="A1205" s="5" t="s">
        <v>19</v>
      </c>
      <c r="B1205" s="6" t="s">
        <v>52</v>
      </c>
      <c r="C1205" s="5">
        <v>2016</v>
      </c>
      <c r="D1205" s="7">
        <v>978.48120116999996</v>
      </c>
      <c r="E1205" s="11">
        <v>60.996000000000002</v>
      </c>
      <c r="F1205" s="10">
        <f>Table1[[#This Row],[Life expectancy at birth, total (years) '[SP.DYN.LE00.IN']]]/Table1[[#This Row],[Current health expenditure per capita (current US$) '[SH.XPD.CHEX.PC.CD']]]</f>
        <v>6.2337426541322627E-2</v>
      </c>
      <c r="G1205" s="4">
        <f>Table1[[#This Row],[Life expectancy at birth, total (years) '[SP.DYN.LE00.IN']]]/Table1[[#This Row],[Current health expenditure per capita (current US$) '[SH.XPD.CHEX.PC.CD']]]*1000</f>
        <v>62.337426541322628</v>
      </c>
    </row>
    <row r="1206" spans="1:7" x14ac:dyDescent="0.25">
      <c r="A1206" s="5" t="s">
        <v>19</v>
      </c>
      <c r="B1206" s="6" t="s">
        <v>52</v>
      </c>
      <c r="C1206" s="5">
        <v>2017</v>
      </c>
      <c r="D1206" s="7">
        <v>1127.4750976600001</v>
      </c>
      <c r="E1206" s="11">
        <v>61.100999999999999</v>
      </c>
      <c r="F1206" s="10">
        <f>Table1[[#This Row],[Life expectancy at birth, total (years) '[SP.DYN.LE00.IN']]]/Table1[[#This Row],[Current health expenditure per capita (current US$) '[SH.XPD.CHEX.PC.CD']]]</f>
        <v>5.4192771198948053E-2</v>
      </c>
      <c r="G1206" s="4">
        <f>Table1[[#This Row],[Life expectancy at birth, total (years) '[SP.DYN.LE00.IN']]]/Table1[[#This Row],[Current health expenditure per capita (current US$) '[SH.XPD.CHEX.PC.CD']]]*1000</f>
        <v>54.192771198948051</v>
      </c>
    </row>
    <row r="1207" spans="1:7" x14ac:dyDescent="0.25">
      <c r="A1207" s="5" t="s">
        <v>19</v>
      </c>
      <c r="B1207" s="6" t="s">
        <v>52</v>
      </c>
      <c r="C1207" s="5">
        <v>2018</v>
      </c>
      <c r="D1207" s="7">
        <v>1220.0769043</v>
      </c>
      <c r="E1207" s="11">
        <v>61.238</v>
      </c>
      <c r="F1207" s="10">
        <f>Table1[[#This Row],[Life expectancy at birth, total (years) '[SP.DYN.LE00.IN']]]/Table1[[#This Row],[Current health expenditure per capita (current US$) '[SH.XPD.CHEX.PC.CD']]]</f>
        <v>5.0191918053833121E-2</v>
      </c>
      <c r="G1207" s="4">
        <f>Table1[[#This Row],[Life expectancy at birth, total (years) '[SP.DYN.LE00.IN']]]/Table1[[#This Row],[Current health expenditure per capita (current US$) '[SH.XPD.CHEX.PC.CD']]]*1000</f>
        <v>50.19191805383312</v>
      </c>
    </row>
    <row r="1208" spans="1:7" x14ac:dyDescent="0.25">
      <c r="A1208" s="5" t="s">
        <v>19</v>
      </c>
      <c r="B1208" s="6" t="s">
        <v>52</v>
      </c>
      <c r="C1208" s="5">
        <v>2019</v>
      </c>
      <c r="D1208" s="7">
        <v>1213.8680419899999</v>
      </c>
      <c r="E1208" s="11">
        <v>61.393000000000001</v>
      </c>
      <c r="F1208" s="10">
        <f>Table1[[#This Row],[Life expectancy at birth, total (years) '[SP.DYN.LE00.IN']]]/Table1[[#This Row],[Current health expenditure per capita (current US$) '[SH.XPD.CHEX.PC.CD']]]</f>
        <v>5.0576337687705405E-2</v>
      </c>
      <c r="G1208" s="4">
        <f>Table1[[#This Row],[Life expectancy at birth, total (years) '[SP.DYN.LE00.IN']]]/Table1[[#This Row],[Current health expenditure per capita (current US$) '[SH.XPD.CHEX.PC.CD']]]*1000</f>
        <v>50.576337687705404</v>
      </c>
    </row>
    <row r="1209" spans="1:7" x14ac:dyDescent="0.25">
      <c r="A1209" s="5" t="s">
        <v>19</v>
      </c>
      <c r="B1209" s="6" t="s">
        <v>52</v>
      </c>
      <c r="C1209" s="5">
        <v>2020</v>
      </c>
      <c r="D1209" s="7">
        <v>1270.5256347699999</v>
      </c>
      <c r="E1209" s="11">
        <v>61.527000000000001</v>
      </c>
      <c r="F1209" s="10">
        <f>Table1[[#This Row],[Life expectancy at birth, total (years) '[SP.DYN.LE00.IN']]]/Table1[[#This Row],[Current health expenditure per capita (current US$) '[SH.XPD.CHEX.PC.CD']]]</f>
        <v>4.8426413695413617E-2</v>
      </c>
      <c r="G1209" s="4">
        <f>Table1[[#This Row],[Life expectancy at birth, total (years) '[SP.DYN.LE00.IN']]]/Table1[[#This Row],[Current health expenditure per capita (current US$) '[SH.XPD.CHEX.PC.CD']]]*1000</f>
        <v>48.426413695413615</v>
      </c>
    </row>
    <row r="1210" spans="1:7" x14ac:dyDescent="0.25">
      <c r="A1210" s="5" t="s">
        <v>19</v>
      </c>
      <c r="B1210" s="6" t="s">
        <v>52</v>
      </c>
      <c r="C1210" s="5">
        <v>2021</v>
      </c>
      <c r="D1210" s="7">
        <v>1636.4578857399999</v>
      </c>
      <c r="E1210" s="11">
        <v>61.331000000000003</v>
      </c>
      <c r="F1210" s="10">
        <f>Table1[[#This Row],[Life expectancy at birth, total (years) '[SP.DYN.LE00.IN']]]/Table1[[#This Row],[Current health expenditure per capita (current US$) '[SH.XPD.CHEX.PC.CD']]]</f>
        <v>3.7477896947079918E-2</v>
      </c>
      <c r="G1210" s="4">
        <f>Table1[[#This Row],[Life expectancy at birth, total (years) '[SP.DYN.LE00.IN']]]/Table1[[#This Row],[Current health expenditure per capita (current US$) '[SH.XPD.CHEX.PC.CD']]]*1000</f>
        <v>37.47789694707992</v>
      </c>
    </row>
    <row r="1211" spans="1:7" x14ac:dyDescent="0.25">
      <c r="A1211" s="5" t="s">
        <v>19</v>
      </c>
      <c r="B1211" s="6" t="s">
        <v>52</v>
      </c>
      <c r="C1211" s="5">
        <v>2022</v>
      </c>
      <c r="D1211" s="7">
        <v>2264.0705566400002</v>
      </c>
      <c r="E1211" s="11">
        <v>61.93</v>
      </c>
      <c r="F1211" s="10">
        <f>Table1[[#This Row],[Life expectancy at birth, total (years) '[SP.DYN.LE00.IN']]]/Table1[[#This Row],[Current health expenditure per capita (current US$) '[SH.XPD.CHEX.PC.CD']]]</f>
        <v>2.7353387825469262E-2</v>
      </c>
      <c r="G1211" s="4">
        <f>Table1[[#This Row],[Life expectancy at birth, total (years) '[SP.DYN.LE00.IN']]]/Table1[[#This Row],[Current health expenditure per capita (current US$) '[SH.XPD.CHEX.PC.CD']]]*1000</f>
        <v>27.353387825469262</v>
      </c>
    </row>
    <row r="1212" spans="1:7" x14ac:dyDescent="0.25">
      <c r="A1212" s="5" t="s">
        <v>19</v>
      </c>
      <c r="B1212" s="6" t="s">
        <v>52</v>
      </c>
      <c r="C1212" s="5">
        <v>2023</v>
      </c>
      <c r="D1212" s="7">
        <v>2292.3732910200001</v>
      </c>
      <c r="E1212" s="11">
        <v>62.109000000000002</v>
      </c>
      <c r="F1212" s="10">
        <f>Table1[[#This Row],[Life expectancy at birth, total (years) '[SP.DYN.LE00.IN']]]/Table1[[#This Row],[Current health expenditure per capita (current US$) '[SH.XPD.CHEX.PC.CD']]]</f>
        <v>2.7093754862396065E-2</v>
      </c>
      <c r="G1212" s="4">
        <f>Table1[[#This Row],[Life expectancy at birth, total (years) '[SP.DYN.LE00.IN']]]/Table1[[#This Row],[Current health expenditure per capita (current US$) '[SH.XPD.CHEX.PC.CD']]]*1000</f>
        <v>27.093754862396064</v>
      </c>
    </row>
    <row r="1213" spans="1:7" hidden="1" x14ac:dyDescent="0.25">
      <c r="B1213" s="1"/>
      <c r="D1213" s="3"/>
      <c r="E1213"/>
      <c r="F1213" t="e">
        <f>Table1[[#This Row],[Life expectancy at birth, total (years) '[SP.DYN.LE00.IN']]]/Table1[[#This Row],[Current health expenditure per capita (current US$) '[SH.XPD.CHEX.PC.CD']]]</f>
        <v>#DIV/0!</v>
      </c>
      <c r="G1213" s="2" t="e">
        <f>Table1[[#This Row],[Life expectancy at birth, total (years) '[SP.DYN.LE00.IN']]]/Table1[[#This Row],[Current health expenditure per capita (current US$) '[SH.XPD.CHEX.PC.CD']]]*1000</f>
        <v>#DIV/0!</v>
      </c>
    </row>
    <row r="1214" spans="1:7" x14ac:dyDescent="0.25">
      <c r="A1214" s="5" t="s">
        <v>27</v>
      </c>
      <c r="B1214" s="6" t="s">
        <v>53</v>
      </c>
      <c r="C1214" s="5">
        <v>2015</v>
      </c>
      <c r="D1214" s="7">
        <v>46.495853420000003</v>
      </c>
      <c r="E1214" s="11">
        <v>67.373999999999995</v>
      </c>
      <c r="F1214" s="10">
        <f>Table1[[#This Row],[Life expectancy at birth, total (years) '[SP.DYN.LE00.IN']]]/Table1[[#This Row],[Current health expenditure per capita (current US$) '[SH.XPD.CHEX.PC.CD']]]</f>
        <v>1.4490324414826063</v>
      </c>
      <c r="G1214" s="4">
        <f>Table1[[#This Row],[Life expectancy at birth, total (years) '[SP.DYN.LE00.IN']]]/Table1[[#This Row],[Current health expenditure per capita (current US$) '[SH.XPD.CHEX.PC.CD']]]*1000</f>
        <v>1449.0324414826064</v>
      </c>
    </row>
    <row r="1215" spans="1:7" x14ac:dyDescent="0.25">
      <c r="A1215" s="5" t="s">
        <v>27</v>
      </c>
      <c r="B1215" s="6" t="s">
        <v>53</v>
      </c>
      <c r="C1215" s="5">
        <v>2016</v>
      </c>
      <c r="D1215" s="7">
        <v>47.1232872</v>
      </c>
      <c r="E1215" s="11">
        <v>68.444000000000003</v>
      </c>
      <c r="F1215" s="10">
        <f>Table1[[#This Row],[Life expectancy at birth, total (years) '[SP.DYN.LE00.IN']]]/Table1[[#This Row],[Current health expenditure per capita (current US$) '[SH.XPD.CHEX.PC.CD']]]</f>
        <v>1.452445363361663</v>
      </c>
      <c r="G1215" s="4">
        <f>Table1[[#This Row],[Life expectancy at birth, total (years) '[SP.DYN.LE00.IN']]]/Table1[[#This Row],[Current health expenditure per capita (current US$) '[SH.XPD.CHEX.PC.CD']]]*1000</f>
        <v>1452.4453633616629</v>
      </c>
    </row>
    <row r="1216" spans="1:7" x14ac:dyDescent="0.25">
      <c r="A1216" s="5" t="s">
        <v>27</v>
      </c>
      <c r="B1216" s="6" t="s">
        <v>53</v>
      </c>
      <c r="C1216" s="5">
        <v>2017</v>
      </c>
      <c r="D1216" s="7">
        <v>49.630855560000001</v>
      </c>
      <c r="E1216" s="11">
        <v>68.739999999999995</v>
      </c>
      <c r="F1216" s="10">
        <f>Table1[[#This Row],[Life expectancy at birth, total (years) '[SP.DYN.LE00.IN']]]/Table1[[#This Row],[Current health expenditure per capita (current US$) '[SH.XPD.CHEX.PC.CD']]]</f>
        <v>1.3850254891717202</v>
      </c>
      <c r="G1216" s="4">
        <f>Table1[[#This Row],[Life expectancy at birth, total (years) '[SP.DYN.LE00.IN']]]/Table1[[#This Row],[Current health expenditure per capita (current US$) '[SH.XPD.CHEX.PC.CD']]]*1000</f>
        <v>1385.0254891717202</v>
      </c>
    </row>
    <row r="1217" spans="1:7" x14ac:dyDescent="0.25">
      <c r="A1217" s="5" t="s">
        <v>27</v>
      </c>
      <c r="B1217" s="6" t="s">
        <v>53</v>
      </c>
      <c r="C1217" s="5">
        <v>2018</v>
      </c>
      <c r="D1217" s="7">
        <v>51.165462490000003</v>
      </c>
      <c r="E1217" s="11">
        <v>69.036000000000001</v>
      </c>
      <c r="F1217" s="10">
        <f>Table1[[#This Row],[Life expectancy at birth, total (years) '[SP.DYN.LE00.IN']]]/Table1[[#This Row],[Current health expenditure per capita (current US$) '[SH.XPD.CHEX.PC.CD']]]</f>
        <v>1.3492695392618155</v>
      </c>
      <c r="G1217" s="4">
        <f>Table1[[#This Row],[Life expectancy at birth, total (years) '[SP.DYN.LE00.IN']]]/Table1[[#This Row],[Current health expenditure per capita (current US$) '[SH.XPD.CHEX.PC.CD']]]*1000</f>
        <v>1349.2695392618155</v>
      </c>
    </row>
    <row r="1218" spans="1:7" x14ac:dyDescent="0.25">
      <c r="A1218" s="5" t="s">
        <v>27</v>
      </c>
      <c r="B1218" s="6" t="s">
        <v>53</v>
      </c>
      <c r="C1218" s="5">
        <v>2019</v>
      </c>
      <c r="D1218" s="7">
        <v>53.611072540000002</v>
      </c>
      <c r="E1218" s="11">
        <v>69.299000000000007</v>
      </c>
      <c r="F1218" s="10">
        <f>Table1[[#This Row],[Life expectancy at birth, total (years) '[SP.DYN.LE00.IN']]]/Table1[[#This Row],[Current health expenditure per capita (current US$) '[SH.XPD.CHEX.PC.CD']]]</f>
        <v>1.2926247641901776</v>
      </c>
      <c r="G1218" s="4">
        <f>Table1[[#This Row],[Life expectancy at birth, total (years) '[SP.DYN.LE00.IN']]]/Table1[[#This Row],[Current health expenditure per capita (current US$) '[SH.XPD.CHEX.PC.CD']]]*1000</f>
        <v>1292.6247641901775</v>
      </c>
    </row>
    <row r="1219" spans="1:7" x14ac:dyDescent="0.25">
      <c r="A1219" s="5" t="s">
        <v>27</v>
      </c>
      <c r="B1219" s="6" t="s">
        <v>53</v>
      </c>
      <c r="C1219" s="5">
        <v>2020</v>
      </c>
      <c r="D1219" s="7">
        <v>59.079414370000002</v>
      </c>
      <c r="E1219" s="11">
        <v>69.105999999999995</v>
      </c>
      <c r="F1219" s="10">
        <f>Table1[[#This Row],[Life expectancy at birth, total (years) '[SP.DYN.LE00.IN']]]/Table1[[#This Row],[Current health expenditure per capita (current US$) '[SH.XPD.CHEX.PC.CD']]]</f>
        <v>1.1697136936261068</v>
      </c>
      <c r="G1219" s="4">
        <f>Table1[[#This Row],[Life expectancy at birth, total (years) '[SP.DYN.LE00.IN']]]/Table1[[#This Row],[Current health expenditure per capita (current US$) '[SH.XPD.CHEX.PC.CD']]]*1000</f>
        <v>1169.7136936261068</v>
      </c>
    </row>
    <row r="1220" spans="1:7" x14ac:dyDescent="0.25">
      <c r="A1220" s="5" t="s">
        <v>27</v>
      </c>
      <c r="B1220" s="6" t="s">
        <v>53</v>
      </c>
      <c r="C1220" s="5">
        <v>2021</v>
      </c>
      <c r="D1220" s="7">
        <v>69.188018799999995</v>
      </c>
      <c r="E1220" s="11">
        <v>68.385000000000005</v>
      </c>
      <c r="F1220" s="10">
        <f>Table1[[#This Row],[Life expectancy at birth, total (years) '[SP.DYN.LE00.IN']]]/Table1[[#This Row],[Current health expenditure per capita (current US$) '[SH.XPD.CHEX.PC.CD']]]</f>
        <v>0.98839367257615429</v>
      </c>
      <c r="G1220" s="4">
        <f>Table1[[#This Row],[Life expectancy at birth, total (years) '[SP.DYN.LE00.IN']]]/Table1[[#This Row],[Current health expenditure per capita (current US$) '[SH.XPD.CHEX.PC.CD']]]*1000</f>
        <v>988.39367257615424</v>
      </c>
    </row>
    <row r="1221" spans="1:7" x14ac:dyDescent="0.25">
      <c r="A1221" s="5" t="s">
        <v>27</v>
      </c>
      <c r="B1221" s="6" t="s">
        <v>53</v>
      </c>
      <c r="C1221" s="5">
        <v>2022</v>
      </c>
      <c r="D1221" s="7">
        <v>87.342300420000001</v>
      </c>
      <c r="E1221" s="11">
        <v>70.087000000000003</v>
      </c>
      <c r="F1221" s="10">
        <f>Table1[[#This Row],[Life expectancy at birth, total (years) '[SP.DYN.LE00.IN']]]/Table1[[#This Row],[Current health expenditure per capita (current US$) '[SH.XPD.CHEX.PC.CD']]]</f>
        <v>0.80244050892837704</v>
      </c>
      <c r="G1221" s="4">
        <f>Table1[[#This Row],[Life expectancy at birth, total (years) '[SP.DYN.LE00.IN']]]/Table1[[#This Row],[Current health expenditure per capita (current US$) '[SH.XPD.CHEX.PC.CD']]]*1000</f>
        <v>802.44050892837708</v>
      </c>
    </row>
    <row r="1222" spans="1:7" x14ac:dyDescent="0.25">
      <c r="A1222" s="5" t="s">
        <v>27</v>
      </c>
      <c r="B1222" s="6" t="s">
        <v>53</v>
      </c>
      <c r="C1222" s="5">
        <v>2023</v>
      </c>
      <c r="D1222" s="7">
        <v>83.960189819999997</v>
      </c>
      <c r="E1222" s="11">
        <v>70.353999999999999</v>
      </c>
      <c r="F1222" s="10">
        <f>Table1[[#This Row],[Life expectancy at birth, total (years) '[SP.DYN.LE00.IN']]]/Table1[[#This Row],[Current health expenditure per capita (current US$) '[SH.XPD.CHEX.PC.CD']]]</f>
        <v>0.83794474680000197</v>
      </c>
      <c r="G1222" s="4">
        <f>Table1[[#This Row],[Life expectancy at birth, total (years) '[SP.DYN.LE00.IN']]]/Table1[[#This Row],[Current health expenditure per capita (current US$) '[SH.XPD.CHEX.PC.CD']]]*1000</f>
        <v>837.94474680000201</v>
      </c>
    </row>
    <row r="1223" spans="1:7" hidden="1" x14ac:dyDescent="0.25">
      <c r="B1223" s="1"/>
      <c r="D1223" s="3"/>
      <c r="E1223"/>
      <c r="F1223" t="e">
        <f>Table1[[#This Row],[Life expectancy at birth, total (years) '[SP.DYN.LE00.IN']]]/Table1[[#This Row],[Current health expenditure per capita (current US$) '[SH.XPD.CHEX.PC.CD']]]</f>
        <v>#DIV/0!</v>
      </c>
      <c r="G1223" s="2" t="e">
        <f>Table1[[#This Row],[Life expectancy at birth, total (years) '[SP.DYN.LE00.IN']]]/Table1[[#This Row],[Current health expenditure per capita (current US$) '[SH.XPD.CHEX.PC.CD']]]*1000</f>
        <v>#DIV/0!</v>
      </c>
    </row>
    <row r="1224" spans="1:7" x14ac:dyDescent="0.25">
      <c r="A1224" s="5" t="s">
        <v>10</v>
      </c>
      <c r="B1224" s="6" t="s">
        <v>360</v>
      </c>
      <c r="C1224" s="5">
        <v>2015</v>
      </c>
      <c r="D1224" s="7">
        <v>4676.5620117199996</v>
      </c>
      <c r="E1224" s="11">
        <v>81.509756097560995</v>
      </c>
      <c r="F1224" s="10">
        <f>Table1[[#This Row],[Life expectancy at birth, total (years) '[SP.DYN.LE00.IN']]]/Table1[[#This Row],[Current health expenditure per capita (current US$) '[SH.XPD.CHEX.PC.CD']]]</f>
        <v>1.742941842603353E-2</v>
      </c>
      <c r="G1224" s="4">
        <f>Table1[[#This Row],[Life expectancy at birth, total (years) '[SP.DYN.LE00.IN']]]/Table1[[#This Row],[Current health expenditure per capita (current US$) '[SH.XPD.CHEX.PC.CD']]]*1000</f>
        <v>17.429418426033529</v>
      </c>
    </row>
    <row r="1225" spans="1:7" x14ac:dyDescent="0.25">
      <c r="A1225" s="5" t="s">
        <v>10</v>
      </c>
      <c r="B1225" s="6" t="s">
        <v>360</v>
      </c>
      <c r="C1225" s="5">
        <v>2016</v>
      </c>
      <c r="D1225" s="7">
        <v>4644.0209960900002</v>
      </c>
      <c r="E1225" s="11">
        <v>81.560975609756099</v>
      </c>
      <c r="F1225" s="10">
        <f>Table1[[#This Row],[Life expectancy at birth, total (years) '[SP.DYN.LE00.IN']]]/Table1[[#This Row],[Current health expenditure per capita (current US$) '[SH.XPD.CHEX.PC.CD']]]</f>
        <v>1.7562576844167108E-2</v>
      </c>
      <c r="G1225" s="4">
        <f>Table1[[#This Row],[Life expectancy at birth, total (years) '[SP.DYN.LE00.IN']]]/Table1[[#This Row],[Current health expenditure per capita (current US$) '[SH.XPD.CHEX.PC.CD']]]*1000</f>
        <v>17.562576844167108</v>
      </c>
    </row>
    <row r="1226" spans="1:7" x14ac:dyDescent="0.25">
      <c r="A1226" s="5" t="s">
        <v>10</v>
      </c>
      <c r="B1226" s="6" t="s">
        <v>360</v>
      </c>
      <c r="C1226" s="5">
        <v>2017</v>
      </c>
      <c r="D1226" s="7">
        <v>4934.5751953099998</v>
      </c>
      <c r="E1226" s="11">
        <v>81.760975609756116</v>
      </c>
      <c r="F1226" s="10">
        <f>Table1[[#This Row],[Life expectancy at birth, total (years) '[SP.DYN.LE00.IN']]]/Table1[[#This Row],[Current health expenditure per capita (current US$) '[SH.XPD.CHEX.PC.CD']]]</f>
        <v>1.6568999837608053E-2</v>
      </c>
      <c r="G1226" s="4">
        <f>Table1[[#This Row],[Life expectancy at birth, total (years) '[SP.DYN.LE00.IN']]]/Table1[[#This Row],[Current health expenditure per capita (current US$) '[SH.XPD.CHEX.PC.CD']]]*1000</f>
        <v>16.568999837608054</v>
      </c>
    </row>
    <row r="1227" spans="1:7" x14ac:dyDescent="0.25">
      <c r="A1227" s="5" t="s">
        <v>10</v>
      </c>
      <c r="B1227" s="6" t="s">
        <v>360</v>
      </c>
      <c r="C1227" s="5">
        <v>2018</v>
      </c>
      <c r="D1227" s="7">
        <v>5330.66015625</v>
      </c>
      <c r="E1227" s="11">
        <v>81.812195121951234</v>
      </c>
      <c r="F1227" s="10">
        <f>Table1[[#This Row],[Life expectancy at birth, total (years) '[SP.DYN.LE00.IN']]]/Table1[[#This Row],[Current health expenditure per capita (current US$) '[SH.XPD.CHEX.PC.CD']]]</f>
        <v>1.5347479059611311E-2</v>
      </c>
      <c r="G1227" s="4">
        <f>Table1[[#This Row],[Life expectancy at birth, total (years) '[SP.DYN.LE00.IN']]]/Table1[[#This Row],[Current health expenditure per capita (current US$) '[SH.XPD.CHEX.PC.CD']]]*1000</f>
        <v>15.347479059611311</v>
      </c>
    </row>
    <row r="1228" spans="1:7" x14ac:dyDescent="0.25">
      <c r="A1228" s="5" t="s">
        <v>10</v>
      </c>
      <c r="B1228" s="6" t="s">
        <v>360</v>
      </c>
      <c r="C1228" s="5">
        <v>2019</v>
      </c>
      <c r="D1228" s="7">
        <v>5340.6127929699996</v>
      </c>
      <c r="E1228" s="11">
        <v>82.112195121951217</v>
      </c>
      <c r="F1228" s="10">
        <f>Table1[[#This Row],[Life expectancy at birth, total (years) '[SP.DYN.LE00.IN']]]/Table1[[#This Row],[Current health expenditure per capita (current US$) '[SH.XPD.CHEX.PC.CD']]]</f>
        <v>1.53750511982516E-2</v>
      </c>
      <c r="G1228" s="4">
        <f>Table1[[#This Row],[Life expectancy at birth, total (years) '[SP.DYN.LE00.IN']]]/Table1[[#This Row],[Current health expenditure per capita (current US$) '[SH.XPD.CHEX.PC.CD']]]*1000</f>
        <v>15.375051198251599</v>
      </c>
    </row>
    <row r="1229" spans="1:7" x14ac:dyDescent="0.25">
      <c r="A1229" s="5" t="s">
        <v>10</v>
      </c>
      <c r="B1229" s="6" t="s">
        <v>360</v>
      </c>
      <c r="C1229" s="5">
        <v>2020</v>
      </c>
      <c r="D1229" s="7">
        <v>5865.9052734400002</v>
      </c>
      <c r="E1229" s="11">
        <v>81.358536585365854</v>
      </c>
      <c r="F1229" s="10">
        <f>Table1[[#This Row],[Life expectancy at birth, total (years) '[SP.DYN.LE00.IN']]]/Table1[[#This Row],[Current health expenditure per capita (current US$) '[SH.XPD.CHEX.PC.CD']]]</f>
        <v>1.3869732427106511E-2</v>
      </c>
      <c r="G1229" s="4">
        <f>Table1[[#This Row],[Life expectancy at birth, total (years) '[SP.DYN.LE00.IN']]]/Table1[[#This Row],[Current health expenditure per capita (current US$) '[SH.XPD.CHEX.PC.CD']]]*1000</f>
        <v>13.869732427106511</v>
      </c>
    </row>
    <row r="1230" spans="1:7" x14ac:dyDescent="0.25">
      <c r="A1230" s="5" t="s">
        <v>10</v>
      </c>
      <c r="B1230" s="6" t="s">
        <v>360</v>
      </c>
      <c r="C1230" s="5">
        <v>2021</v>
      </c>
      <c r="D1230" s="7">
        <v>6718.8896484400002</v>
      </c>
      <c r="E1230" s="11">
        <v>81.309756097560978</v>
      </c>
      <c r="F1230" s="10">
        <f>Table1[[#This Row],[Life expectancy at birth, total (years) '[SP.DYN.LE00.IN']]]/Table1[[#This Row],[Current health expenditure per capita (current US$) '[SH.XPD.CHEX.PC.CD']]]</f>
        <v>1.2101665654895757E-2</v>
      </c>
      <c r="G1230" s="4">
        <f>Table1[[#This Row],[Life expectancy at birth, total (years) '[SP.DYN.LE00.IN']]]/Table1[[#This Row],[Current health expenditure per capita (current US$) '[SH.XPD.CHEX.PC.CD']]]*1000</f>
        <v>12.101665654895756</v>
      </c>
    </row>
    <row r="1231" spans="1:7" x14ac:dyDescent="0.25">
      <c r="A1231" s="5" t="s">
        <v>10</v>
      </c>
      <c r="B1231" s="6" t="s">
        <v>360</v>
      </c>
      <c r="C1231" s="5">
        <v>2022</v>
      </c>
      <c r="D1231" s="7">
        <v>5967.9042968800004</v>
      </c>
      <c r="E1231" s="11">
        <v>81.614634146341473</v>
      </c>
      <c r="F1231" s="10">
        <f>Table1[[#This Row],[Life expectancy at birth, total (years) '[SP.DYN.LE00.IN']]]/Table1[[#This Row],[Current health expenditure per capita (current US$) '[SH.XPD.CHEX.PC.CD']]]</f>
        <v>1.36755936567229E-2</v>
      </c>
      <c r="G1231" s="4">
        <f>Table1[[#This Row],[Life expectancy at birth, total (years) '[SP.DYN.LE00.IN']]]/Table1[[#This Row],[Current health expenditure per capita (current US$) '[SH.XPD.CHEX.PC.CD']]]*1000</f>
        <v>13.675593656722899</v>
      </c>
    </row>
    <row r="1232" spans="1:7" x14ac:dyDescent="0.25">
      <c r="A1232" s="5" t="s">
        <v>10</v>
      </c>
      <c r="B1232" s="6" t="s">
        <v>360</v>
      </c>
      <c r="C1232" s="5">
        <v>2023</v>
      </c>
      <c r="D1232" s="7">
        <v>6371.8559570300004</v>
      </c>
      <c r="E1232" s="11">
        <v>81.91463414634147</v>
      </c>
      <c r="F1232" s="10">
        <f>Table1[[#This Row],[Life expectancy at birth, total (years) '[SP.DYN.LE00.IN']]]/Table1[[#This Row],[Current health expenditure per capita (current US$) '[SH.XPD.CHEX.PC.CD']]]</f>
        <v>1.2855694588633306E-2</v>
      </c>
      <c r="G1232" s="4">
        <f>Table1[[#This Row],[Life expectancy at birth, total (years) '[SP.DYN.LE00.IN']]]/Table1[[#This Row],[Current health expenditure per capita (current US$) '[SH.XPD.CHEX.PC.CD']]]*1000</f>
        <v>12.855694588633305</v>
      </c>
    </row>
    <row r="1233" spans="1:7" hidden="1" x14ac:dyDescent="0.25">
      <c r="B1233" s="1"/>
      <c r="D1233" s="3"/>
      <c r="E1233"/>
      <c r="F1233" t="e">
        <f>Table1[[#This Row],[Life expectancy at birth, total (years) '[SP.DYN.LE00.IN']]]/Table1[[#This Row],[Current health expenditure per capita (current US$) '[SH.XPD.CHEX.PC.CD']]]</f>
        <v>#DIV/0!</v>
      </c>
      <c r="G1233" s="2" t="e">
        <f>Table1[[#This Row],[Life expectancy at birth, total (years) '[SP.DYN.LE00.IN']]]/Table1[[#This Row],[Current health expenditure per capita (current US$) '[SH.XPD.CHEX.PC.CD']]]*1000</f>
        <v>#DIV/0!</v>
      </c>
    </row>
    <row r="1234" spans="1:7" x14ac:dyDescent="0.25">
      <c r="A1234" s="5" t="s">
        <v>95</v>
      </c>
      <c r="B1234" s="6" t="s">
        <v>30</v>
      </c>
      <c r="C1234" s="5">
        <v>2015</v>
      </c>
      <c r="D1234" s="7">
        <v>3433.59643555</v>
      </c>
      <c r="E1234" s="11">
        <v>81.612439024390255</v>
      </c>
      <c r="F1234" s="10">
        <f>Table1[[#This Row],[Life expectancy at birth, total (years) '[SP.DYN.LE00.IN']]]/Table1[[#This Row],[Current health expenditure per capita (current US$) '[SH.XPD.CHEX.PC.CD']]]</f>
        <v>2.3768791864824213E-2</v>
      </c>
      <c r="G1234" s="4">
        <f>Table1[[#This Row],[Life expectancy at birth, total (years) '[SP.DYN.LE00.IN']]]/Table1[[#This Row],[Current health expenditure per capita (current US$) '[SH.XPD.CHEX.PC.CD']]]*1000</f>
        <v>23.768791864824212</v>
      </c>
    </row>
    <row r="1235" spans="1:7" x14ac:dyDescent="0.25">
      <c r="A1235" s="5" t="s">
        <v>95</v>
      </c>
      <c r="B1235" s="6" t="s">
        <v>30</v>
      </c>
      <c r="C1235" s="5">
        <v>2016</v>
      </c>
      <c r="D1235" s="7">
        <v>3516.93481445</v>
      </c>
      <c r="E1235" s="11">
        <v>81.658536585365866</v>
      </c>
      <c r="F1235" s="10">
        <f>Table1[[#This Row],[Life expectancy at birth, total (years) '[SP.DYN.LE00.IN']]]/Table1[[#This Row],[Current health expenditure per capita (current US$) '[SH.XPD.CHEX.PC.CD']]]</f>
        <v>2.3218666507509929E-2</v>
      </c>
      <c r="G1235" s="4">
        <f>Table1[[#This Row],[Life expectancy at birth, total (years) '[SP.DYN.LE00.IN']]]/Table1[[#This Row],[Current health expenditure per capita (current US$) '[SH.XPD.CHEX.PC.CD']]]*1000</f>
        <v>23.21866650750993</v>
      </c>
    </row>
    <row r="1236" spans="1:7" x14ac:dyDescent="0.25">
      <c r="A1236" s="5" t="s">
        <v>95</v>
      </c>
      <c r="B1236" s="6" t="s">
        <v>30</v>
      </c>
      <c r="C1236" s="5">
        <v>2017</v>
      </c>
      <c r="D1236" s="7">
        <v>3702.0998535200001</v>
      </c>
      <c r="E1236" s="11">
        <v>81.858536585365869</v>
      </c>
      <c r="F1236" s="10">
        <f>Table1[[#This Row],[Life expectancy at birth, total (years) '[SP.DYN.LE00.IN']]]/Table1[[#This Row],[Current health expenditure per capita (current US$) '[SH.XPD.CHEX.PC.CD']]]</f>
        <v>2.2111379980076392E-2</v>
      </c>
      <c r="G1236" s="4">
        <f>Table1[[#This Row],[Life expectancy at birth, total (years) '[SP.DYN.LE00.IN']]]/Table1[[#This Row],[Current health expenditure per capita (current US$) '[SH.XPD.CHEX.PC.CD']]]*1000</f>
        <v>22.111379980076393</v>
      </c>
    </row>
    <row r="1237" spans="1:7" x14ac:dyDescent="0.25">
      <c r="A1237" s="5" t="s">
        <v>95</v>
      </c>
      <c r="B1237" s="6" t="s">
        <v>30</v>
      </c>
      <c r="C1237" s="5">
        <v>2018</v>
      </c>
      <c r="D1237" s="7">
        <v>3706.8027343799999</v>
      </c>
      <c r="E1237" s="11">
        <v>81.707317073170742</v>
      </c>
      <c r="F1237" s="10">
        <f>Table1[[#This Row],[Life expectancy at birth, total (years) '[SP.DYN.LE00.IN']]]/Table1[[#This Row],[Current health expenditure per capita (current US$) '[SH.XPD.CHEX.PC.CD']]]</f>
        <v>2.2042531779570707E-2</v>
      </c>
      <c r="G1237" s="4">
        <f>Table1[[#This Row],[Life expectancy at birth, total (years) '[SP.DYN.LE00.IN']]]/Table1[[#This Row],[Current health expenditure per capita (current US$) '[SH.XPD.CHEX.PC.CD']]]*1000</f>
        <v>22.042531779570709</v>
      </c>
    </row>
    <row r="1238" spans="1:7" x14ac:dyDescent="0.25">
      <c r="A1238" s="5" t="s">
        <v>95</v>
      </c>
      <c r="B1238" s="6" t="s">
        <v>30</v>
      </c>
      <c r="C1238" s="5">
        <v>2019</v>
      </c>
      <c r="D1238" s="7">
        <v>3679.5969238299999</v>
      </c>
      <c r="E1238" s="11">
        <v>82.056097560975616</v>
      </c>
      <c r="F1238" s="10">
        <f>Table1[[#This Row],[Life expectancy at birth, total (years) '[SP.DYN.LE00.IN']]]/Table1[[#This Row],[Current health expenditure per capita (current US$) '[SH.XPD.CHEX.PC.CD']]]</f>
        <v>2.2300295184388155E-2</v>
      </c>
      <c r="G1238" s="4">
        <f>Table1[[#This Row],[Life expectancy at birth, total (years) '[SP.DYN.LE00.IN']]]/Table1[[#This Row],[Current health expenditure per capita (current US$) '[SH.XPD.CHEX.PC.CD']]]*1000</f>
        <v>22.300295184388155</v>
      </c>
    </row>
    <row r="1239" spans="1:7" x14ac:dyDescent="0.25">
      <c r="A1239" s="5" t="s">
        <v>95</v>
      </c>
      <c r="B1239" s="6" t="s">
        <v>30</v>
      </c>
      <c r="C1239" s="5">
        <v>2020</v>
      </c>
      <c r="D1239" s="7">
        <v>3887.7126464799999</v>
      </c>
      <c r="E1239" s="11">
        <v>82.256097560975618</v>
      </c>
      <c r="F1239" s="10">
        <f>Table1[[#This Row],[Life expectancy at birth, total (years) '[SP.DYN.LE00.IN']]]/Table1[[#This Row],[Current health expenditure per capita (current US$) '[SH.XPD.CHEX.PC.CD']]]</f>
        <v>2.1157967432457146E-2</v>
      </c>
      <c r="G1239" s="4">
        <f>Table1[[#This Row],[Life expectancy at birth, total (years) '[SP.DYN.LE00.IN']]]/Table1[[#This Row],[Current health expenditure per capita (current US$) '[SH.XPD.CHEX.PC.CD']]]*1000</f>
        <v>21.157967432457145</v>
      </c>
    </row>
    <row r="1240" spans="1:7" x14ac:dyDescent="0.25">
      <c r="A1240" s="5" t="s">
        <v>95</v>
      </c>
      <c r="B1240" s="6" t="s">
        <v>30</v>
      </c>
      <c r="C1240" s="5">
        <v>2021</v>
      </c>
      <c r="D1240" s="7">
        <v>4749.0419921900002</v>
      </c>
      <c r="E1240" s="11">
        <v>82.207317073170742</v>
      </c>
      <c r="F1240" s="10">
        <f>Table1[[#This Row],[Life expectancy at birth, total (years) '[SP.DYN.LE00.IN']]]/Table1[[#This Row],[Current health expenditure per capita (current US$) '[SH.XPD.CHEX.PC.CD']]]</f>
        <v>1.7310294835961471E-2</v>
      </c>
      <c r="G1240" s="4">
        <f>Table1[[#This Row],[Life expectancy at birth, total (years) '[SP.DYN.LE00.IN']]]/Table1[[#This Row],[Current health expenditure per capita (current US$) '[SH.XPD.CHEX.PC.CD']]]*1000</f>
        <v>17.310294835961471</v>
      </c>
    </row>
    <row r="1241" spans="1:7" x14ac:dyDescent="0.25">
      <c r="A1241" s="5" t="s">
        <v>95</v>
      </c>
      <c r="B1241" s="6" t="s">
        <v>30</v>
      </c>
      <c r="C1241" s="5">
        <v>2022</v>
      </c>
      <c r="D1241" s="7">
        <v>5138.3378906300004</v>
      </c>
      <c r="E1241" s="11">
        <v>81.958536585365849</v>
      </c>
      <c r="F1241" s="10">
        <f>Table1[[#This Row],[Life expectancy at birth, total (years) '[SP.DYN.LE00.IN']]]/Table1[[#This Row],[Current health expenditure per capita (current US$) '[SH.XPD.CHEX.PC.CD']]]</f>
        <v>1.5950398422575729E-2</v>
      </c>
      <c r="G1241" s="4">
        <f>Table1[[#This Row],[Life expectancy at birth, total (years) '[SP.DYN.LE00.IN']]]/Table1[[#This Row],[Current health expenditure per capita (current US$) '[SH.XPD.CHEX.PC.CD']]]*1000</f>
        <v>15.950398422575729</v>
      </c>
    </row>
    <row r="1242" spans="1:7" x14ac:dyDescent="0.25">
      <c r="A1242" s="5" t="s">
        <v>95</v>
      </c>
      <c r="B1242" s="6" t="s">
        <v>30</v>
      </c>
      <c r="C1242" s="5">
        <v>2023</v>
      </c>
      <c r="D1242" s="7">
        <v>4997.2431640599998</v>
      </c>
      <c r="E1242" s="11">
        <v>83.004878048780512</v>
      </c>
      <c r="F1242" s="10">
        <f>Table1[[#This Row],[Life expectancy at birth, total (years) '[SP.DYN.LE00.IN']]]/Table1[[#This Row],[Current health expenditure per capita (current US$) '[SH.XPD.CHEX.PC.CD']]]</f>
        <v>1.6610133892572754E-2</v>
      </c>
      <c r="G1242" s="4">
        <f>Table1[[#This Row],[Life expectancy at birth, total (years) '[SP.DYN.LE00.IN']]]/Table1[[#This Row],[Current health expenditure per capita (current US$) '[SH.XPD.CHEX.PC.CD']]]*1000</f>
        <v>16.610133892572755</v>
      </c>
    </row>
    <row r="1243" spans="1:7" hidden="1" x14ac:dyDescent="0.25">
      <c r="B1243" s="1"/>
      <c r="D1243" s="3"/>
      <c r="E1243"/>
      <c r="F1243" t="e">
        <f>Table1[[#This Row],[Life expectancy at birth, total (years) '[SP.DYN.LE00.IN']]]/Table1[[#This Row],[Current health expenditure per capita (current US$) '[SH.XPD.CHEX.PC.CD']]]</f>
        <v>#DIV/0!</v>
      </c>
      <c r="G1243" s="2" t="e">
        <f>Table1[[#This Row],[Life expectancy at birth, total (years) '[SP.DYN.LE00.IN']]]/Table1[[#This Row],[Current health expenditure per capita (current US$) '[SH.XPD.CHEX.PC.CD']]]*1000</f>
        <v>#DIV/0!</v>
      </c>
    </row>
    <row r="1244" spans="1:7" x14ac:dyDescent="0.25">
      <c r="A1244" s="5" t="s">
        <v>288</v>
      </c>
      <c r="B1244" s="6" t="s">
        <v>194</v>
      </c>
      <c r="C1244" s="5">
        <v>2015</v>
      </c>
      <c r="D1244" s="7">
        <v>165.18948363999999</v>
      </c>
      <c r="E1244" s="11">
        <v>72.899000000000001</v>
      </c>
      <c r="F1244" s="10">
        <f>Table1[[#This Row],[Life expectancy at birth, total (years) '[SP.DYN.LE00.IN']]]/Table1[[#This Row],[Current health expenditure per capita (current US$) '[SH.XPD.CHEX.PC.CD']]]</f>
        <v>0.4413053324803044</v>
      </c>
      <c r="G1244" s="4">
        <f>Table1[[#This Row],[Life expectancy at birth, total (years) '[SP.DYN.LE00.IN']]]/Table1[[#This Row],[Current health expenditure per capita (current US$) '[SH.XPD.CHEX.PC.CD']]]*1000</f>
        <v>441.3053324803044</v>
      </c>
    </row>
    <row r="1245" spans="1:7" x14ac:dyDescent="0.25">
      <c r="A1245" s="5" t="s">
        <v>288</v>
      </c>
      <c r="B1245" s="6" t="s">
        <v>194</v>
      </c>
      <c r="C1245" s="5">
        <v>2016</v>
      </c>
      <c r="D1245" s="7">
        <v>171.57482909999999</v>
      </c>
      <c r="E1245" s="11">
        <v>73.180000000000007</v>
      </c>
      <c r="F1245" s="10">
        <f>Table1[[#This Row],[Life expectancy at birth, total (years) '[SP.DYN.LE00.IN']]]/Table1[[#This Row],[Current health expenditure per capita (current US$) '[SH.XPD.CHEX.PC.CD']]]</f>
        <v>0.42651943984946689</v>
      </c>
      <c r="G1245" s="4">
        <f>Table1[[#This Row],[Life expectancy at birth, total (years) '[SP.DYN.LE00.IN']]]/Table1[[#This Row],[Current health expenditure per capita (current US$) '[SH.XPD.CHEX.PC.CD']]]*1000</f>
        <v>426.51943984946689</v>
      </c>
    </row>
    <row r="1246" spans="1:7" x14ac:dyDescent="0.25">
      <c r="A1246" s="5" t="s">
        <v>288</v>
      </c>
      <c r="B1246" s="6" t="s">
        <v>194</v>
      </c>
      <c r="C1246" s="5">
        <v>2017</v>
      </c>
      <c r="D1246" s="7">
        <v>181.75810242</v>
      </c>
      <c r="E1246" s="11">
        <v>73.388999999999996</v>
      </c>
      <c r="F1246" s="10">
        <f>Table1[[#This Row],[Life expectancy at birth, total (years) '[SP.DYN.LE00.IN']]]/Table1[[#This Row],[Current health expenditure per capita (current US$) '[SH.XPD.CHEX.PC.CD']]]</f>
        <v>0.40377292138765497</v>
      </c>
      <c r="G1246" s="4">
        <f>Table1[[#This Row],[Life expectancy at birth, total (years) '[SP.DYN.LE00.IN']]]/Table1[[#This Row],[Current health expenditure per capita (current US$) '[SH.XPD.CHEX.PC.CD']]]*1000</f>
        <v>403.77292138765495</v>
      </c>
    </row>
    <row r="1247" spans="1:7" x14ac:dyDescent="0.25">
      <c r="A1247" s="5" t="s">
        <v>288</v>
      </c>
      <c r="B1247" s="6" t="s">
        <v>194</v>
      </c>
      <c r="C1247" s="5">
        <v>2018</v>
      </c>
      <c r="D1247" s="7">
        <v>172.97604369999999</v>
      </c>
      <c r="E1247" s="11">
        <v>73.879000000000005</v>
      </c>
      <c r="F1247" s="10">
        <f>Table1[[#This Row],[Life expectancy at birth, total (years) '[SP.DYN.LE00.IN']]]/Table1[[#This Row],[Current health expenditure per capita (current US$) '[SH.XPD.CHEX.PC.CD']]]</f>
        <v>0.42710538650156449</v>
      </c>
      <c r="G1247" s="4">
        <f>Table1[[#This Row],[Life expectancy at birth, total (years) '[SP.DYN.LE00.IN']]]/Table1[[#This Row],[Current health expenditure per capita (current US$) '[SH.XPD.CHEX.PC.CD']]]*1000</f>
        <v>427.10538650156451</v>
      </c>
    </row>
    <row r="1248" spans="1:7" x14ac:dyDescent="0.25">
      <c r="A1248" s="5" t="s">
        <v>288</v>
      </c>
      <c r="B1248" s="6" t="s">
        <v>194</v>
      </c>
      <c r="C1248" s="5">
        <v>2019</v>
      </c>
      <c r="D1248" s="7">
        <v>166.49009705</v>
      </c>
      <c r="E1248" s="11">
        <v>73.763999999999996</v>
      </c>
      <c r="F1248" s="10">
        <f>Table1[[#This Row],[Life expectancy at birth, total (years) '[SP.DYN.LE00.IN']]]/Table1[[#This Row],[Current health expenditure per capita (current US$) '[SH.XPD.CHEX.PC.CD']]]</f>
        <v>0.44305337859132443</v>
      </c>
      <c r="G1248" s="4">
        <f>Table1[[#This Row],[Life expectancy at birth, total (years) '[SP.DYN.LE00.IN']]]/Table1[[#This Row],[Current health expenditure per capita (current US$) '[SH.XPD.CHEX.PC.CD']]]*1000</f>
        <v>443.05337859132442</v>
      </c>
    </row>
    <row r="1249" spans="1:7" x14ac:dyDescent="0.25">
      <c r="A1249" s="5" t="s">
        <v>288</v>
      </c>
      <c r="B1249" s="6" t="s">
        <v>194</v>
      </c>
      <c r="C1249" s="5">
        <v>2020</v>
      </c>
      <c r="D1249" s="7">
        <v>165.88038635000001</v>
      </c>
      <c r="E1249" s="11">
        <v>70.766000000000005</v>
      </c>
      <c r="F1249" s="10">
        <f>Table1[[#This Row],[Life expectancy at birth, total (years) '[SP.DYN.LE00.IN']]]/Table1[[#This Row],[Current health expenditure per capita (current US$) '[SH.XPD.CHEX.PC.CD']]]</f>
        <v>0.42660860368800319</v>
      </c>
      <c r="G1249" s="4">
        <f>Table1[[#This Row],[Life expectancy at birth, total (years) '[SP.DYN.LE00.IN']]]/Table1[[#This Row],[Current health expenditure per capita (current US$) '[SH.XPD.CHEX.PC.CD']]]*1000</f>
        <v>426.6086036880032</v>
      </c>
    </row>
    <row r="1250" spans="1:7" x14ac:dyDescent="0.25">
      <c r="A1250" s="5" t="s">
        <v>288</v>
      </c>
      <c r="B1250" s="6" t="s">
        <v>194</v>
      </c>
      <c r="C1250" s="5">
        <v>2021</v>
      </c>
      <c r="D1250" s="7">
        <v>204.21273804</v>
      </c>
      <c r="E1250" s="11">
        <v>70.477999999999994</v>
      </c>
      <c r="F1250" s="10">
        <f>Table1[[#This Row],[Life expectancy at birth, total (years) '[SP.DYN.LE00.IN']]]/Table1[[#This Row],[Current health expenditure per capita (current US$) '[SH.XPD.CHEX.PC.CD']]]</f>
        <v>0.3451204889393098</v>
      </c>
      <c r="G1250" s="4">
        <f>Table1[[#This Row],[Life expectancy at birth, total (years) '[SP.DYN.LE00.IN']]]/Table1[[#This Row],[Current health expenditure per capita (current US$) '[SH.XPD.CHEX.PC.CD']]]*1000</f>
        <v>345.12048893930978</v>
      </c>
    </row>
    <row r="1251" spans="1:7" x14ac:dyDescent="0.25">
      <c r="A1251" s="5" t="s">
        <v>288</v>
      </c>
      <c r="B1251" s="6" t="s">
        <v>194</v>
      </c>
      <c r="C1251" s="5">
        <v>2022</v>
      </c>
      <c r="D1251" s="7">
        <v>208.56825255999999</v>
      </c>
      <c r="E1251" s="11">
        <v>74.462999999999994</v>
      </c>
      <c r="F1251" s="10">
        <f>Table1[[#This Row],[Life expectancy at birth, total (years) '[SP.DYN.LE00.IN']]]/Table1[[#This Row],[Current health expenditure per capita (current US$) '[SH.XPD.CHEX.PC.CD']]]</f>
        <v>0.35701982006383648</v>
      </c>
      <c r="G1251" s="4">
        <f>Table1[[#This Row],[Life expectancy at birth, total (years) '[SP.DYN.LE00.IN']]]/Table1[[#This Row],[Current health expenditure per capita (current US$) '[SH.XPD.CHEX.PC.CD']]]*1000</f>
        <v>357.01982006383651</v>
      </c>
    </row>
    <row r="1252" spans="1:7" x14ac:dyDescent="0.25">
      <c r="A1252" s="5" t="s">
        <v>288</v>
      </c>
      <c r="B1252" s="6" t="s">
        <v>194</v>
      </c>
      <c r="C1252" s="5">
        <v>2023</v>
      </c>
      <c r="D1252" s="7">
        <v>216.55238342000001</v>
      </c>
      <c r="E1252" s="11">
        <v>74.947000000000003</v>
      </c>
      <c r="F1252" s="10">
        <f>Table1[[#This Row],[Life expectancy at birth, total (years) '[SP.DYN.LE00.IN']]]/Table1[[#This Row],[Current health expenditure per capita (current US$) '[SH.XPD.CHEX.PC.CD']]]</f>
        <v>0.34609178073390884</v>
      </c>
      <c r="G1252" s="4">
        <f>Table1[[#This Row],[Life expectancy at birth, total (years) '[SP.DYN.LE00.IN']]]/Table1[[#This Row],[Current health expenditure per capita (current US$) '[SH.XPD.CHEX.PC.CD']]]*1000</f>
        <v>346.09178073390882</v>
      </c>
    </row>
    <row r="1253" spans="1:7" hidden="1" x14ac:dyDescent="0.25">
      <c r="B1253" s="1"/>
      <c r="D1253" s="3"/>
      <c r="E1253"/>
      <c r="F1253" t="e">
        <f>Table1[[#This Row],[Life expectancy at birth, total (years) '[SP.DYN.LE00.IN']]]/Table1[[#This Row],[Current health expenditure per capita (current US$) '[SH.XPD.CHEX.PC.CD']]]</f>
        <v>#DIV/0!</v>
      </c>
      <c r="G1253" s="2" t="e">
        <f>Table1[[#This Row],[Life expectancy at birth, total (years) '[SP.DYN.LE00.IN']]]/Table1[[#This Row],[Current health expenditure per capita (current US$) '[SH.XPD.CHEX.PC.CD']]]*1000</f>
        <v>#DIV/0!</v>
      </c>
    </row>
    <row r="1254" spans="1:7" x14ac:dyDescent="0.25">
      <c r="A1254" s="5" t="s">
        <v>378</v>
      </c>
      <c r="B1254" s="6" t="s">
        <v>382</v>
      </c>
      <c r="C1254" s="5">
        <v>2015</v>
      </c>
      <c r="D1254" s="7">
        <v>25.96905327</v>
      </c>
      <c r="E1254" s="11">
        <v>58.85</v>
      </c>
      <c r="F1254" s="10">
        <f>Table1[[#This Row],[Life expectancy at birth, total (years) '[SP.DYN.LE00.IN']]]/Table1[[#This Row],[Current health expenditure per capita (current US$) '[SH.XPD.CHEX.PC.CD']]]</f>
        <v>2.2661588540844022</v>
      </c>
      <c r="G1254" s="4">
        <f>Table1[[#This Row],[Life expectancy at birth, total (years) '[SP.DYN.LE00.IN']]]/Table1[[#This Row],[Current health expenditure per capita (current US$) '[SH.XPD.CHEX.PC.CD']]]*1000</f>
        <v>2266.1588540844023</v>
      </c>
    </row>
    <row r="1255" spans="1:7" x14ac:dyDescent="0.25">
      <c r="A1255" s="5" t="s">
        <v>378</v>
      </c>
      <c r="B1255" s="6" t="s">
        <v>382</v>
      </c>
      <c r="C1255" s="5">
        <v>2016</v>
      </c>
      <c r="D1255" s="7">
        <v>22.68474007</v>
      </c>
      <c r="E1255" s="11">
        <v>59.228000000000002</v>
      </c>
      <c r="F1255" s="10">
        <f>Table1[[#This Row],[Life expectancy at birth, total (years) '[SP.DYN.LE00.IN']]]/Table1[[#This Row],[Current health expenditure per capita (current US$) '[SH.XPD.CHEX.PC.CD']]]</f>
        <v>2.6109181686559215</v>
      </c>
      <c r="G1255" s="4">
        <f>Table1[[#This Row],[Life expectancy at birth, total (years) '[SP.DYN.LE00.IN']]]/Table1[[#This Row],[Current health expenditure per capita (current US$) '[SH.XPD.CHEX.PC.CD']]]*1000</f>
        <v>2610.9181686559214</v>
      </c>
    </row>
    <row r="1256" spans="1:7" x14ac:dyDescent="0.25">
      <c r="A1256" s="5" t="s">
        <v>378</v>
      </c>
      <c r="B1256" s="6" t="s">
        <v>382</v>
      </c>
      <c r="C1256" s="5">
        <v>2017</v>
      </c>
      <c r="D1256" s="7">
        <v>29.096275330000001</v>
      </c>
      <c r="E1256" s="11">
        <v>59.524000000000001</v>
      </c>
      <c r="F1256" s="10">
        <f>Table1[[#This Row],[Life expectancy at birth, total (years) '[SP.DYN.LE00.IN']]]/Table1[[#This Row],[Current health expenditure per capita (current US$) '[SH.XPD.CHEX.PC.CD']]]</f>
        <v>2.0457601299444397</v>
      </c>
      <c r="G1256" s="4">
        <f>Table1[[#This Row],[Life expectancy at birth, total (years) '[SP.DYN.LE00.IN']]]/Table1[[#This Row],[Current health expenditure per capita (current US$) '[SH.XPD.CHEX.PC.CD']]]*1000</f>
        <v>2045.7601299444398</v>
      </c>
    </row>
    <row r="1257" spans="1:7" x14ac:dyDescent="0.25">
      <c r="A1257" s="5" t="s">
        <v>378</v>
      </c>
      <c r="B1257" s="6" t="s">
        <v>382</v>
      </c>
      <c r="C1257" s="5">
        <v>2018</v>
      </c>
      <c r="D1257" s="7">
        <v>30.613645550000001</v>
      </c>
      <c r="E1257" s="11">
        <v>59.765000000000001</v>
      </c>
      <c r="F1257" s="10">
        <f>Table1[[#This Row],[Life expectancy at birth, total (years) '[SP.DYN.LE00.IN']]]/Table1[[#This Row],[Current health expenditure per capita (current US$) '[SH.XPD.CHEX.PC.CD']]]</f>
        <v>1.9522340095820441</v>
      </c>
      <c r="G1257" s="4">
        <f>Table1[[#This Row],[Life expectancy at birth, total (years) '[SP.DYN.LE00.IN']]]/Table1[[#This Row],[Current health expenditure per capita (current US$) '[SH.XPD.CHEX.PC.CD']]]*1000</f>
        <v>1952.2340095820441</v>
      </c>
    </row>
    <row r="1258" spans="1:7" x14ac:dyDescent="0.25">
      <c r="A1258" s="5" t="s">
        <v>378</v>
      </c>
      <c r="B1258" s="6" t="s">
        <v>382</v>
      </c>
      <c r="C1258" s="5">
        <v>2019</v>
      </c>
      <c r="D1258" s="7">
        <v>31.894243240000002</v>
      </c>
      <c r="E1258" s="11">
        <v>60.030999999999999</v>
      </c>
      <c r="F1258" s="10">
        <f>Table1[[#This Row],[Life expectancy at birth, total (years) '[SP.DYN.LE00.IN']]]/Table1[[#This Row],[Current health expenditure per capita (current US$) '[SH.XPD.CHEX.PC.CD']]]</f>
        <v>1.8821891947168832</v>
      </c>
      <c r="G1258" s="4">
        <f>Table1[[#This Row],[Life expectancy at birth, total (years) '[SP.DYN.LE00.IN']]]/Table1[[#This Row],[Current health expenditure per capita (current US$) '[SH.XPD.CHEX.PC.CD']]]*1000</f>
        <v>1882.1891947168831</v>
      </c>
    </row>
    <row r="1259" spans="1:7" x14ac:dyDescent="0.25">
      <c r="A1259" s="5" t="s">
        <v>378</v>
      </c>
      <c r="B1259" s="6" t="s">
        <v>382</v>
      </c>
      <c r="C1259" s="5">
        <v>2020</v>
      </c>
      <c r="D1259" s="7">
        <v>35.755371089999997</v>
      </c>
      <c r="E1259" s="11">
        <v>59.89</v>
      </c>
      <c r="F1259" s="10">
        <f>Table1[[#This Row],[Life expectancy at birth, total (years) '[SP.DYN.LE00.IN']]]/Table1[[#This Row],[Current health expenditure per capita (current US$) '[SH.XPD.CHEX.PC.CD']]]</f>
        <v>1.6749931038123091</v>
      </c>
      <c r="G1259" s="4">
        <f>Table1[[#This Row],[Life expectancy at birth, total (years) '[SP.DYN.LE00.IN']]]/Table1[[#This Row],[Current health expenditure per capita (current US$) '[SH.XPD.CHEX.PC.CD']]]*1000</f>
        <v>1674.9931038123091</v>
      </c>
    </row>
    <row r="1260" spans="1:7" x14ac:dyDescent="0.25">
      <c r="A1260" s="5" t="s">
        <v>378</v>
      </c>
      <c r="B1260" s="6" t="s">
        <v>382</v>
      </c>
      <c r="C1260" s="5">
        <v>2021</v>
      </c>
      <c r="D1260" s="7">
        <v>35.394062040000001</v>
      </c>
      <c r="E1260" s="11">
        <v>59.542000000000002</v>
      </c>
      <c r="F1260" s="10">
        <f>Table1[[#This Row],[Life expectancy at birth, total (years) '[SP.DYN.LE00.IN']]]/Table1[[#This Row],[Current health expenditure per capita (current US$) '[SH.XPD.CHEX.PC.CD']]]</f>
        <v>1.6822595816413954</v>
      </c>
      <c r="G1260" s="4">
        <f>Table1[[#This Row],[Life expectancy at birth, total (years) '[SP.DYN.LE00.IN']]]/Table1[[#This Row],[Current health expenditure per capita (current US$) '[SH.XPD.CHEX.PC.CD']]]*1000</f>
        <v>1682.2595816413955</v>
      </c>
    </row>
    <row r="1261" spans="1:7" x14ac:dyDescent="0.25">
      <c r="A1261" s="5" t="s">
        <v>378</v>
      </c>
      <c r="B1261" s="6" t="s">
        <v>382</v>
      </c>
      <c r="C1261" s="5">
        <v>2022</v>
      </c>
      <c r="D1261" s="7">
        <v>26.506816860000001</v>
      </c>
      <c r="E1261" s="11">
        <v>60.398000000000003</v>
      </c>
      <c r="F1261" s="10">
        <f>Table1[[#This Row],[Life expectancy at birth, total (years) '[SP.DYN.LE00.IN']]]/Table1[[#This Row],[Current health expenditure per capita (current US$) '[SH.XPD.CHEX.PC.CD']]]</f>
        <v>2.2785836684578809</v>
      </c>
      <c r="G1261" s="4">
        <f>Table1[[#This Row],[Life expectancy at birth, total (years) '[SP.DYN.LE00.IN']]]/Table1[[#This Row],[Current health expenditure per capita (current US$) '[SH.XPD.CHEX.PC.CD']]]*1000</f>
        <v>2278.5836684578808</v>
      </c>
    </row>
    <row r="1262" spans="1:7" x14ac:dyDescent="0.25">
      <c r="A1262" s="5" t="s">
        <v>378</v>
      </c>
      <c r="B1262" s="6" t="s">
        <v>382</v>
      </c>
      <c r="C1262" s="5">
        <v>2023</v>
      </c>
      <c r="D1262" s="7">
        <v>26.013015750000001</v>
      </c>
      <c r="E1262" s="11">
        <v>61.183</v>
      </c>
      <c r="F1262" s="10">
        <f>Table1[[#This Row],[Life expectancy at birth, total (years) '[SP.DYN.LE00.IN']]]/Table1[[#This Row],[Current health expenditure per capita (current US$) '[SH.XPD.CHEX.PC.CD']]]</f>
        <v>2.3520148754763275</v>
      </c>
      <c r="G1262" s="4">
        <f>Table1[[#This Row],[Life expectancy at birth, total (years) '[SP.DYN.LE00.IN']]]/Table1[[#This Row],[Current health expenditure per capita (current US$) '[SH.XPD.CHEX.PC.CD']]]*1000</f>
        <v>2352.0148754763277</v>
      </c>
    </row>
    <row r="1263" spans="1:7" hidden="1" x14ac:dyDescent="0.25">
      <c r="B1263" s="1"/>
      <c r="D1263" s="3"/>
      <c r="E1263"/>
      <c r="F1263" t="e">
        <f>Table1[[#This Row],[Life expectancy at birth, total (years) '[SP.DYN.LE00.IN']]]/Table1[[#This Row],[Current health expenditure per capita (current US$) '[SH.XPD.CHEX.PC.CD']]]</f>
        <v>#DIV/0!</v>
      </c>
      <c r="G1263" s="2" t="e">
        <f>Table1[[#This Row],[Life expectancy at birth, total (years) '[SP.DYN.LE00.IN']]]/Table1[[#This Row],[Current health expenditure per capita (current US$) '[SH.XPD.CHEX.PC.CD']]]*1000</f>
        <v>#DIV/0!</v>
      </c>
    </row>
    <row r="1264" spans="1:7" x14ac:dyDescent="0.25">
      <c r="A1264" s="5" t="s">
        <v>117</v>
      </c>
      <c r="B1264" s="6" t="s">
        <v>227</v>
      </c>
      <c r="C1264" s="5">
        <v>2015</v>
      </c>
      <c r="D1264" s="7">
        <v>92.912071229999995</v>
      </c>
      <c r="E1264" s="11">
        <v>51.939</v>
      </c>
      <c r="F1264" s="10">
        <f>Table1[[#This Row],[Life expectancy at birth, total (years) '[SP.DYN.LE00.IN']]]/Table1[[#This Row],[Current health expenditure per capita (current US$) '[SH.XPD.CHEX.PC.CD']]]</f>
        <v>0.55901240078296344</v>
      </c>
      <c r="G1264" s="4">
        <f>Table1[[#This Row],[Life expectancy at birth, total (years) '[SP.DYN.LE00.IN']]]/Table1[[#This Row],[Current health expenditure per capita (current US$) '[SH.XPD.CHEX.PC.CD']]]*1000</f>
        <v>559.01240078296348</v>
      </c>
    </row>
    <row r="1265" spans="1:7" x14ac:dyDescent="0.25">
      <c r="A1265" s="5" t="s">
        <v>117</v>
      </c>
      <c r="B1265" s="6" t="s">
        <v>227</v>
      </c>
      <c r="C1265" s="5">
        <v>2016</v>
      </c>
      <c r="D1265" s="7">
        <v>75.523284910000001</v>
      </c>
      <c r="E1265" s="11">
        <v>52.189</v>
      </c>
      <c r="F1265" s="10">
        <f>Table1[[#This Row],[Life expectancy at birth, total (years) '[SP.DYN.LE00.IN']]]/Table1[[#This Row],[Current health expenditure per capita (current US$) '[SH.XPD.CHEX.PC.CD']]]</f>
        <v>0.69103191237236139</v>
      </c>
      <c r="G1265" s="4">
        <f>Table1[[#This Row],[Life expectancy at birth, total (years) '[SP.DYN.LE00.IN']]]/Table1[[#This Row],[Current health expenditure per capita (current US$) '[SH.XPD.CHEX.PC.CD']]]*1000</f>
        <v>691.03191237236138</v>
      </c>
    </row>
    <row r="1266" spans="1:7" x14ac:dyDescent="0.25">
      <c r="A1266" s="5" t="s">
        <v>117</v>
      </c>
      <c r="B1266" s="6" t="s">
        <v>227</v>
      </c>
      <c r="C1266" s="5">
        <v>2017</v>
      </c>
      <c r="D1266" s="7">
        <v>70.318145749999999</v>
      </c>
      <c r="E1266" s="11">
        <v>52.396999999999998</v>
      </c>
      <c r="F1266" s="10">
        <f>Table1[[#This Row],[Life expectancy at birth, total (years) '[SP.DYN.LE00.IN']]]/Table1[[#This Row],[Current health expenditure per capita (current US$) '[SH.XPD.CHEX.PC.CD']]]</f>
        <v>0.74514194652238819</v>
      </c>
      <c r="G1266" s="4">
        <f>Table1[[#This Row],[Life expectancy at birth, total (years) '[SP.DYN.LE00.IN']]]/Table1[[#This Row],[Current health expenditure per capita (current US$) '[SH.XPD.CHEX.PC.CD']]]*1000</f>
        <v>745.14194652238814</v>
      </c>
    </row>
    <row r="1267" spans="1:7" x14ac:dyDescent="0.25">
      <c r="A1267" s="5" t="s">
        <v>117</v>
      </c>
      <c r="B1267" s="6" t="s">
        <v>227</v>
      </c>
      <c r="C1267" s="5">
        <v>2018</v>
      </c>
      <c r="D1267" s="7">
        <v>63.602447509999998</v>
      </c>
      <c r="E1267" s="11">
        <v>52.668999999999997</v>
      </c>
      <c r="F1267" s="10">
        <f>Table1[[#This Row],[Life expectancy at birth, total (years) '[SP.DYN.LE00.IN']]]/Table1[[#This Row],[Current health expenditure per capita (current US$) '[SH.XPD.CHEX.PC.CD']]]</f>
        <v>0.82809706327290356</v>
      </c>
      <c r="G1267" s="4">
        <f>Table1[[#This Row],[Life expectancy at birth, total (years) '[SP.DYN.LE00.IN']]]/Table1[[#This Row],[Current health expenditure per capita (current US$) '[SH.XPD.CHEX.PC.CD']]]*1000</f>
        <v>828.0970632729036</v>
      </c>
    </row>
    <row r="1268" spans="1:7" x14ac:dyDescent="0.25">
      <c r="A1268" s="5" t="s">
        <v>117</v>
      </c>
      <c r="B1268" s="6" t="s">
        <v>227</v>
      </c>
      <c r="C1268" s="5">
        <v>2019</v>
      </c>
      <c r="D1268" s="7">
        <v>67.625442500000005</v>
      </c>
      <c r="E1268" s="11">
        <v>53.009</v>
      </c>
      <c r="F1268" s="10">
        <f>Table1[[#This Row],[Life expectancy at birth, total (years) '[SP.DYN.LE00.IN']]]/Table1[[#This Row],[Current health expenditure per capita (current US$) '[SH.XPD.CHEX.PC.CD']]]</f>
        <v>0.78386178397279982</v>
      </c>
      <c r="G1268" s="4">
        <f>Table1[[#This Row],[Life expectancy at birth, total (years) '[SP.DYN.LE00.IN']]]/Table1[[#This Row],[Current health expenditure per capita (current US$) '[SH.XPD.CHEX.PC.CD']]]*1000</f>
        <v>783.8617839727998</v>
      </c>
    </row>
    <row r="1269" spans="1:7" x14ac:dyDescent="0.25">
      <c r="A1269" s="5" t="s">
        <v>117</v>
      </c>
      <c r="B1269" s="6" t="s">
        <v>227</v>
      </c>
      <c r="C1269" s="5">
        <v>2020</v>
      </c>
      <c r="D1269" s="7">
        <v>67.913848880000003</v>
      </c>
      <c r="E1269" s="11">
        <v>53.072000000000003</v>
      </c>
      <c r="F1269" s="10">
        <f>Table1[[#This Row],[Life expectancy at birth, total (years) '[SP.DYN.LE00.IN']]]/Table1[[#This Row],[Current health expenditure per capita (current US$) '[SH.XPD.CHEX.PC.CD']]]</f>
        <v>0.78146064278841387</v>
      </c>
      <c r="G1269" s="4">
        <f>Table1[[#This Row],[Life expectancy at birth, total (years) '[SP.DYN.LE00.IN']]]/Table1[[#This Row],[Current health expenditure per capita (current US$) '[SH.XPD.CHEX.PC.CD']]]*1000</f>
        <v>781.46064278841391</v>
      </c>
    </row>
    <row r="1270" spans="1:7" x14ac:dyDescent="0.25">
      <c r="A1270" s="5" t="s">
        <v>117</v>
      </c>
      <c r="B1270" s="6" t="s">
        <v>227</v>
      </c>
      <c r="C1270" s="5">
        <v>2021</v>
      </c>
      <c r="D1270" s="7">
        <v>81.873222350000006</v>
      </c>
      <c r="E1270" s="11">
        <v>53.454999999999998</v>
      </c>
      <c r="F1270" s="10">
        <f>Table1[[#This Row],[Life expectancy at birth, total (years) '[SP.DYN.LE00.IN']]]/Table1[[#This Row],[Current health expenditure per capita (current US$) '[SH.XPD.CHEX.PC.CD']]]</f>
        <v>0.65289967178139285</v>
      </c>
      <c r="G1270" s="4">
        <f>Table1[[#This Row],[Life expectancy at birth, total (years) '[SP.DYN.LE00.IN']]]/Table1[[#This Row],[Current health expenditure per capita (current US$) '[SH.XPD.CHEX.PC.CD']]]*1000</f>
        <v>652.89967178139284</v>
      </c>
    </row>
    <row r="1271" spans="1:7" x14ac:dyDescent="0.25">
      <c r="A1271" s="5" t="s">
        <v>117</v>
      </c>
      <c r="B1271" s="6" t="s">
        <v>227</v>
      </c>
      <c r="C1271" s="5">
        <v>2022</v>
      </c>
      <c r="D1271" s="7">
        <v>89.629585270000007</v>
      </c>
      <c r="E1271" s="11">
        <v>54.079000000000001</v>
      </c>
      <c r="F1271" s="10">
        <f>Table1[[#This Row],[Life expectancy at birth, total (years) '[SP.DYN.LE00.IN']]]/Table1[[#This Row],[Current health expenditure per capita (current US$) '[SH.XPD.CHEX.PC.CD']]]</f>
        <v>0.60336104241799748</v>
      </c>
      <c r="G1271" s="4">
        <f>Table1[[#This Row],[Life expectancy at birth, total (years) '[SP.DYN.LE00.IN']]]/Table1[[#This Row],[Current health expenditure per capita (current US$) '[SH.XPD.CHEX.PC.CD']]]*1000</f>
        <v>603.36104241799751</v>
      </c>
    </row>
    <row r="1272" spans="1:7" x14ac:dyDescent="0.25">
      <c r="A1272" s="5" t="s">
        <v>117</v>
      </c>
      <c r="B1272" s="6" t="s">
        <v>227</v>
      </c>
      <c r="C1272" s="5">
        <v>2023</v>
      </c>
      <c r="D1272" s="7">
        <v>66.820091250000004</v>
      </c>
      <c r="E1272" s="11">
        <v>54.462000000000003</v>
      </c>
      <c r="F1272" s="10">
        <f>Table1[[#This Row],[Life expectancy at birth, total (years) '[SP.DYN.LE00.IN']]]/Table1[[#This Row],[Current health expenditure per capita (current US$) '[SH.XPD.CHEX.PC.CD']]]</f>
        <v>0.81505425959740818</v>
      </c>
      <c r="G1272" s="4">
        <f>Table1[[#This Row],[Life expectancy at birth, total (years) '[SP.DYN.LE00.IN']]]/Table1[[#This Row],[Current health expenditure per capita (current US$) '[SH.XPD.CHEX.PC.CD']]]*1000</f>
        <v>815.05425959740819</v>
      </c>
    </row>
    <row r="1273" spans="1:7" hidden="1" x14ac:dyDescent="0.25">
      <c r="B1273" s="1"/>
      <c r="D1273" s="3"/>
      <c r="E1273"/>
      <c r="F1273" t="e">
        <f>Table1[[#This Row],[Life expectancy at birth, total (years) '[SP.DYN.LE00.IN']]]/Table1[[#This Row],[Current health expenditure per capita (current US$) '[SH.XPD.CHEX.PC.CD']]]</f>
        <v>#DIV/0!</v>
      </c>
      <c r="G1273" s="2" t="e">
        <f>Table1[[#This Row],[Life expectancy at birth, total (years) '[SP.DYN.LE00.IN']]]/Table1[[#This Row],[Current health expenditure per capita (current US$) '[SH.XPD.CHEX.PC.CD']]]*1000</f>
        <v>#DIV/0!</v>
      </c>
    </row>
    <row r="1274" spans="1:7" x14ac:dyDescent="0.25">
      <c r="A1274" s="5" t="s">
        <v>177</v>
      </c>
      <c r="B1274" s="6" t="s">
        <v>123</v>
      </c>
      <c r="C1274" s="5">
        <v>2015</v>
      </c>
      <c r="D1274" s="7">
        <v>322.25213623000002</v>
      </c>
      <c r="E1274" s="11">
        <v>75.402439024390247</v>
      </c>
      <c r="F1274" s="10">
        <f>Table1[[#This Row],[Life expectancy at birth, total (years) '[SP.DYN.LE00.IN']]]/Table1[[#This Row],[Current health expenditure per capita (current US$) '[SH.XPD.CHEX.PC.CD']]]</f>
        <v>0.23398584694120847</v>
      </c>
      <c r="G1274" s="4">
        <f>Table1[[#This Row],[Life expectancy at birth, total (years) '[SP.DYN.LE00.IN']]]/Table1[[#This Row],[Current health expenditure per capita (current US$) '[SH.XPD.CHEX.PC.CD']]]*1000</f>
        <v>233.98584694120848</v>
      </c>
    </row>
    <row r="1275" spans="1:7" x14ac:dyDescent="0.25">
      <c r="A1275" s="5" t="s">
        <v>177</v>
      </c>
      <c r="B1275" s="6" t="s">
        <v>123</v>
      </c>
      <c r="C1275" s="5">
        <v>2016</v>
      </c>
      <c r="D1275" s="7">
        <v>347.44271851000002</v>
      </c>
      <c r="E1275" s="11">
        <v>75.400000000000006</v>
      </c>
      <c r="F1275" s="10">
        <f>Table1[[#This Row],[Life expectancy at birth, total (years) '[SP.DYN.LE00.IN']]]/Table1[[#This Row],[Current health expenditure per capita (current US$) '[SH.XPD.CHEX.PC.CD']]]</f>
        <v>0.21701418962916</v>
      </c>
      <c r="G1275" s="4">
        <f>Table1[[#This Row],[Life expectancy at birth, total (years) '[SP.DYN.LE00.IN']]]/Table1[[#This Row],[Current health expenditure per capita (current US$) '[SH.XPD.CHEX.PC.CD']]]*1000</f>
        <v>217.01418962916</v>
      </c>
    </row>
    <row r="1276" spans="1:7" x14ac:dyDescent="0.25">
      <c r="A1276" s="5" t="s">
        <v>177</v>
      </c>
      <c r="B1276" s="6" t="s">
        <v>123</v>
      </c>
      <c r="C1276" s="5">
        <v>2017</v>
      </c>
      <c r="D1276" s="7">
        <v>375.33038329999999</v>
      </c>
      <c r="E1276" s="11">
        <v>75.953658536585365</v>
      </c>
      <c r="F1276" s="10">
        <f>Table1[[#This Row],[Life expectancy at birth, total (years) '[SP.DYN.LE00.IN']]]/Table1[[#This Row],[Current health expenditure per capita (current US$) '[SH.XPD.CHEX.PC.CD']]]</f>
        <v>0.20236480156171083</v>
      </c>
      <c r="G1276" s="4">
        <f>Table1[[#This Row],[Life expectancy at birth, total (years) '[SP.DYN.LE00.IN']]]/Table1[[#This Row],[Current health expenditure per capita (current US$) '[SH.XPD.CHEX.PC.CD']]]*1000</f>
        <v>202.36480156171083</v>
      </c>
    </row>
    <row r="1277" spans="1:7" x14ac:dyDescent="0.25">
      <c r="A1277" s="5" t="s">
        <v>177</v>
      </c>
      <c r="B1277" s="6" t="s">
        <v>123</v>
      </c>
      <c r="C1277" s="5">
        <v>2018</v>
      </c>
      <c r="D1277" s="7">
        <v>426.57290648999998</v>
      </c>
      <c r="E1277" s="11">
        <v>76.648780487804885</v>
      </c>
      <c r="F1277" s="10">
        <f>Table1[[#This Row],[Life expectancy at birth, total (years) '[SP.DYN.LE00.IN']]]/Table1[[#This Row],[Current health expenditure per capita (current US$) '[SH.XPD.CHEX.PC.CD']]]</f>
        <v>0.17968506513575713</v>
      </c>
      <c r="G1277" s="4">
        <f>Table1[[#This Row],[Life expectancy at birth, total (years) '[SP.DYN.LE00.IN']]]/Table1[[#This Row],[Current health expenditure per capita (current US$) '[SH.XPD.CHEX.PC.CD']]]*1000</f>
        <v>179.68506513575713</v>
      </c>
    </row>
    <row r="1278" spans="1:7" x14ac:dyDescent="0.25">
      <c r="A1278" s="5" t="s">
        <v>177</v>
      </c>
      <c r="B1278" s="6" t="s">
        <v>123</v>
      </c>
      <c r="C1278" s="5">
        <v>2019</v>
      </c>
      <c r="D1278" s="7">
        <v>469.47344971000001</v>
      </c>
      <c r="E1278" s="11">
        <v>76.60243902439025</v>
      </c>
      <c r="F1278" s="10">
        <f>Table1[[#This Row],[Life expectancy at birth, total (years) '[SP.DYN.LE00.IN']]]/Table1[[#This Row],[Current health expenditure per capita (current US$) '[SH.XPD.CHEX.PC.CD']]]</f>
        <v>0.16316671171012673</v>
      </c>
      <c r="G1278" s="4">
        <f>Table1[[#This Row],[Life expectancy at birth, total (years) '[SP.DYN.LE00.IN']]]/Table1[[#This Row],[Current health expenditure per capita (current US$) '[SH.XPD.CHEX.PC.CD']]]*1000</f>
        <v>163.16671171012672</v>
      </c>
    </row>
    <row r="1279" spans="1:7" x14ac:dyDescent="0.25">
      <c r="A1279" s="5" t="s">
        <v>177</v>
      </c>
      <c r="B1279" s="6" t="s">
        <v>123</v>
      </c>
      <c r="C1279" s="5">
        <v>2020</v>
      </c>
      <c r="D1279" s="7">
        <v>510.81011962999997</v>
      </c>
      <c r="E1279" s="11">
        <v>74.395121951219508</v>
      </c>
      <c r="F1279" s="10">
        <f>Table1[[#This Row],[Life expectancy at birth, total (years) '[SP.DYN.LE00.IN']]]/Table1[[#This Row],[Current health expenditure per capita (current US$) '[SH.XPD.CHEX.PC.CD']]]</f>
        <v>0.14564144109969249</v>
      </c>
      <c r="G1279" s="4">
        <f>Table1[[#This Row],[Life expectancy at birth, total (years) '[SP.DYN.LE00.IN']]]/Table1[[#This Row],[Current health expenditure per capita (current US$) '[SH.XPD.CHEX.PC.CD']]]*1000</f>
        <v>145.64144109969249</v>
      </c>
    </row>
    <row r="1280" spans="1:7" x14ac:dyDescent="0.25">
      <c r="A1280" s="5" t="s">
        <v>177</v>
      </c>
      <c r="B1280" s="6" t="s">
        <v>123</v>
      </c>
      <c r="C1280" s="5">
        <v>2021</v>
      </c>
      <c r="D1280" s="7">
        <v>636.65447998000002</v>
      </c>
      <c r="E1280" s="11">
        <v>73.246341463414637</v>
      </c>
      <c r="F1280" s="10">
        <f>Table1[[#This Row],[Life expectancy at birth, total (years) '[SP.DYN.LE00.IN']]]/Table1[[#This Row],[Current health expenditure per capita (current US$) '[SH.XPD.CHEX.PC.CD']]]</f>
        <v>0.11504881182288329</v>
      </c>
      <c r="G1280" s="4">
        <f>Table1[[#This Row],[Life expectancy at birth, total (years) '[SP.DYN.LE00.IN']]]/Table1[[#This Row],[Current health expenditure per capita (current US$) '[SH.XPD.CHEX.PC.CD']]]*1000</f>
        <v>115.04881182288329</v>
      </c>
    </row>
    <row r="1281" spans="1:7" x14ac:dyDescent="0.25">
      <c r="A1281" s="5" t="s">
        <v>177</v>
      </c>
      <c r="B1281" s="6" t="s">
        <v>123</v>
      </c>
      <c r="C1281" s="5">
        <v>2022</v>
      </c>
      <c r="D1281" s="7">
        <v>561.69281006000006</v>
      </c>
      <c r="E1281" s="11">
        <v>74.424878048780499</v>
      </c>
      <c r="F1281" s="10">
        <f>Table1[[#This Row],[Life expectancy at birth, total (years) '[SP.DYN.LE00.IN']]]/Table1[[#This Row],[Current health expenditure per capita (current US$) '[SH.XPD.CHEX.PC.CD']]]</f>
        <v>0.13250103386730272</v>
      </c>
      <c r="G1281" s="4">
        <f>Table1[[#This Row],[Life expectancy at birth, total (years) '[SP.DYN.LE00.IN']]]/Table1[[#This Row],[Current health expenditure per capita (current US$) '[SH.XPD.CHEX.PC.CD']]]*1000</f>
        <v>132.50103386730271</v>
      </c>
    </row>
    <row r="1282" spans="1:7" x14ac:dyDescent="0.25">
      <c r="A1282" s="5" t="s">
        <v>177</v>
      </c>
      <c r="B1282" s="6" t="s">
        <v>123</v>
      </c>
      <c r="C1282" s="5">
        <v>2023</v>
      </c>
      <c r="D1282" s="7">
        <v>639.41693114999998</v>
      </c>
      <c r="E1282" s="11">
        <v>75.316097560975621</v>
      </c>
      <c r="F1282" s="10">
        <f>Table1[[#This Row],[Life expectancy at birth, total (years) '[SP.DYN.LE00.IN']]]/Table1[[#This Row],[Current health expenditure per capita (current US$) '[SH.XPD.CHEX.PC.CD']]]</f>
        <v>0.11778871326650453</v>
      </c>
      <c r="G1282" s="4">
        <f>Table1[[#This Row],[Life expectancy at birth, total (years) '[SP.DYN.LE00.IN']]]/Table1[[#This Row],[Current health expenditure per capita (current US$) '[SH.XPD.CHEX.PC.CD']]]*1000</f>
        <v>117.78871326650453</v>
      </c>
    </row>
    <row r="1283" spans="1:7" hidden="1" x14ac:dyDescent="0.25">
      <c r="B1283" s="1"/>
      <c r="D1283" s="3"/>
      <c r="E1283"/>
      <c r="F1283" t="e">
        <f>Table1[[#This Row],[Life expectancy at birth, total (years) '[SP.DYN.LE00.IN']]]/Table1[[#This Row],[Current health expenditure per capita (current US$) '[SH.XPD.CHEX.PC.CD']]]</f>
        <v>#DIV/0!</v>
      </c>
      <c r="G1283" s="2" t="e">
        <f>Table1[[#This Row],[Life expectancy at birth, total (years) '[SP.DYN.LE00.IN']]]/Table1[[#This Row],[Current health expenditure per capita (current US$) '[SH.XPD.CHEX.PC.CD']]]*1000</f>
        <v>#DIV/0!</v>
      </c>
    </row>
    <row r="1284" spans="1:7" x14ac:dyDescent="0.25">
      <c r="A1284" s="5" t="s">
        <v>190</v>
      </c>
      <c r="B1284" s="6" t="s">
        <v>89</v>
      </c>
      <c r="C1284" s="5">
        <v>2015</v>
      </c>
      <c r="D1284" s="7">
        <v>7566.5615234400002</v>
      </c>
      <c r="E1284" s="11">
        <v>82.304878048780509</v>
      </c>
      <c r="F1284" s="10">
        <f>Table1[[#This Row],[Life expectancy at birth, total (years) '[SP.DYN.LE00.IN']]]/Table1[[#This Row],[Current health expenditure per capita (current US$) '[SH.XPD.CHEX.PC.CD']]]</f>
        <v>1.0877447806882047E-2</v>
      </c>
      <c r="G1284" s="4">
        <f>Table1[[#This Row],[Life expectancy at birth, total (years) '[SP.DYN.LE00.IN']]]/Table1[[#This Row],[Current health expenditure per capita (current US$) '[SH.XPD.CHEX.PC.CD']]]*1000</f>
        <v>10.877447806882047</v>
      </c>
    </row>
    <row r="1285" spans="1:7" x14ac:dyDescent="0.25">
      <c r="A1285" s="5" t="s">
        <v>190</v>
      </c>
      <c r="B1285" s="6" t="s">
        <v>89</v>
      </c>
      <c r="C1285" s="5">
        <v>2016</v>
      </c>
      <c r="D1285" s="7">
        <v>7492.0766601599998</v>
      </c>
      <c r="E1285" s="11">
        <v>82.407317073170745</v>
      </c>
      <c r="F1285" s="10">
        <f>Table1[[#This Row],[Life expectancy at birth, total (years) '[SP.DYN.LE00.IN']]]/Table1[[#This Row],[Current health expenditure per capita (current US$) '[SH.XPD.CHEX.PC.CD']]]</f>
        <v>1.0999262395616072E-2</v>
      </c>
      <c r="G1285" s="4">
        <f>Table1[[#This Row],[Life expectancy at birth, total (years) '[SP.DYN.LE00.IN']]]/Table1[[#This Row],[Current health expenditure per capita (current US$) '[SH.XPD.CHEX.PC.CD']]]*1000</f>
        <v>10.999262395616071</v>
      </c>
    </row>
    <row r="1286" spans="1:7" x14ac:dyDescent="0.25">
      <c r="A1286" s="5" t="s">
        <v>190</v>
      </c>
      <c r="B1286" s="6" t="s">
        <v>89</v>
      </c>
      <c r="C1286" s="5">
        <v>2017</v>
      </c>
      <c r="D1286" s="7">
        <v>7815.7871093800004</v>
      </c>
      <c r="E1286" s="11">
        <v>82.609756097560975</v>
      </c>
      <c r="F1286" s="10">
        <f>Table1[[#This Row],[Life expectancy at birth, total (years) '[SP.DYN.LE00.IN']]]/Table1[[#This Row],[Current health expenditure per capita (current US$) '[SH.XPD.CHEX.PC.CD']]]</f>
        <v>1.0569601620599172E-2</v>
      </c>
      <c r="G1286" s="4">
        <f>Table1[[#This Row],[Life expectancy at birth, total (years) '[SP.DYN.LE00.IN']]]/Table1[[#This Row],[Current health expenditure per capita (current US$) '[SH.XPD.CHEX.PC.CD']]]*1000</f>
        <v>10.569601620599173</v>
      </c>
    </row>
    <row r="1287" spans="1:7" x14ac:dyDescent="0.25">
      <c r="A1287" s="5" t="s">
        <v>190</v>
      </c>
      <c r="B1287" s="6" t="s">
        <v>89</v>
      </c>
      <c r="C1287" s="5">
        <v>2018</v>
      </c>
      <c r="D1287" s="7">
        <v>8271.859375</v>
      </c>
      <c r="E1287" s="11">
        <v>82.75853658536586</v>
      </c>
      <c r="F1287" s="10">
        <f>Table1[[#This Row],[Life expectancy at birth, total (years) '[SP.DYN.LE00.IN']]]/Table1[[#This Row],[Current health expenditure per capita (current US$) '[SH.XPD.CHEX.PC.CD']]]</f>
        <v>1.0004828761413254E-2</v>
      </c>
      <c r="G1287" s="4">
        <f>Table1[[#This Row],[Life expectancy at birth, total (years) '[SP.DYN.LE00.IN']]]/Table1[[#This Row],[Current health expenditure per capita (current US$) '[SH.XPD.CHEX.PC.CD']]]*1000</f>
        <v>10.004828761413254</v>
      </c>
    </row>
    <row r="1288" spans="1:7" x14ac:dyDescent="0.25">
      <c r="A1288" s="5" t="s">
        <v>190</v>
      </c>
      <c r="B1288" s="6" t="s">
        <v>89</v>
      </c>
      <c r="C1288" s="5">
        <v>2019</v>
      </c>
      <c r="D1288" s="7">
        <v>8007.35546875</v>
      </c>
      <c r="E1288" s="11">
        <v>82.958536585365863</v>
      </c>
      <c r="F1288" s="10">
        <f>Table1[[#This Row],[Life expectancy at birth, total (years) '[SP.DYN.LE00.IN']]]/Table1[[#This Row],[Current health expenditure per capita (current US$) '[SH.XPD.CHEX.PC.CD']]]</f>
        <v>1.0360291473149277E-2</v>
      </c>
      <c r="G1288" s="4">
        <f>Table1[[#This Row],[Life expectancy at birth, total (years) '[SP.DYN.LE00.IN']]]/Table1[[#This Row],[Current health expenditure per capita (current US$) '[SH.XPD.CHEX.PC.CD']]]*1000</f>
        <v>10.360291473149278</v>
      </c>
    </row>
    <row r="1289" spans="1:7" x14ac:dyDescent="0.25">
      <c r="A1289" s="5" t="s">
        <v>190</v>
      </c>
      <c r="B1289" s="6" t="s">
        <v>89</v>
      </c>
      <c r="C1289" s="5">
        <v>2020</v>
      </c>
      <c r="D1289" s="7">
        <v>7824.5771484400002</v>
      </c>
      <c r="E1289" s="11">
        <v>83.20975609756097</v>
      </c>
      <c r="F1289" s="10">
        <f>Table1[[#This Row],[Life expectancy at birth, total (years) '[SP.DYN.LE00.IN']]]/Table1[[#This Row],[Current health expenditure per capita (current US$) '[SH.XPD.CHEX.PC.CD']]]</f>
        <v>1.0634409312987685E-2</v>
      </c>
      <c r="G1289" s="4">
        <f>Table1[[#This Row],[Life expectancy at birth, total (years) '[SP.DYN.LE00.IN']]]/Table1[[#This Row],[Current health expenditure per capita (current US$) '[SH.XPD.CHEX.PC.CD']]]*1000</f>
        <v>10.634409312987685</v>
      </c>
    </row>
    <row r="1290" spans="1:7" x14ac:dyDescent="0.25">
      <c r="A1290" s="5" t="s">
        <v>190</v>
      </c>
      <c r="B1290" s="6" t="s">
        <v>89</v>
      </c>
      <c r="C1290" s="5">
        <v>2021</v>
      </c>
      <c r="D1290" s="7">
        <v>9163.1386718800004</v>
      </c>
      <c r="E1290" s="11">
        <v>83.163414634146349</v>
      </c>
      <c r="F1290" s="10">
        <f>Table1[[#This Row],[Life expectancy at birth, total (years) '[SP.DYN.LE00.IN']]]/Table1[[#This Row],[Current health expenditure per capita (current US$) '[SH.XPD.CHEX.PC.CD']]]</f>
        <v>9.0758655535094854E-3</v>
      </c>
      <c r="G1290" s="4">
        <f>Table1[[#This Row],[Life expectancy at birth, total (years) '[SP.DYN.LE00.IN']]]/Table1[[#This Row],[Current health expenditure per capita (current US$) '[SH.XPD.CHEX.PC.CD']]]*1000</f>
        <v>9.0758655535094857</v>
      </c>
    </row>
    <row r="1291" spans="1:7" x14ac:dyDescent="0.25">
      <c r="A1291" s="5" t="s">
        <v>190</v>
      </c>
      <c r="B1291" s="6" t="s">
        <v>89</v>
      </c>
      <c r="C1291" s="5">
        <v>2022</v>
      </c>
      <c r="D1291" s="7">
        <v>8692.5761718800004</v>
      </c>
      <c r="E1291" s="11">
        <v>82.509756097560981</v>
      </c>
      <c r="F1291" s="10">
        <f>Table1[[#This Row],[Life expectancy at birth, total (years) '[SP.DYN.LE00.IN']]]/Table1[[#This Row],[Current health expenditure per capita (current US$) '[SH.XPD.CHEX.PC.CD']]]</f>
        <v>9.4919796463188259E-3</v>
      </c>
      <c r="G1291" s="4">
        <f>Table1[[#This Row],[Life expectancy at birth, total (years) '[SP.DYN.LE00.IN']]]/Table1[[#This Row],[Current health expenditure per capita (current US$) '[SH.XPD.CHEX.PC.CD']]]*1000</f>
        <v>9.4919796463188266</v>
      </c>
    </row>
    <row r="1292" spans="1:7" x14ac:dyDescent="0.25">
      <c r="A1292" s="5" t="s">
        <v>190</v>
      </c>
      <c r="B1292" s="6" t="s">
        <v>89</v>
      </c>
      <c r="C1292" s="5">
        <v>2023</v>
      </c>
      <c r="D1292" s="7">
        <v>8296.35546875</v>
      </c>
      <c r="E1292" s="11">
        <v>83.112195121951231</v>
      </c>
      <c r="F1292" s="10">
        <f>Table1[[#This Row],[Life expectancy at birth, total (years) '[SP.DYN.LE00.IN']]]/Table1[[#This Row],[Current health expenditure per capita (current US$) '[SH.XPD.CHEX.PC.CD']]]</f>
        <v>1.0017916353151829E-2</v>
      </c>
      <c r="G1292" s="4">
        <f>Table1[[#This Row],[Life expectancy at birth, total (years) '[SP.DYN.LE00.IN']]]/Table1[[#This Row],[Current health expenditure per capita (current US$) '[SH.XPD.CHEX.PC.CD']]]*1000</f>
        <v>10.017916353151829</v>
      </c>
    </row>
    <row r="1293" spans="1:7" hidden="1" x14ac:dyDescent="0.25">
      <c r="B1293" s="1"/>
      <c r="D1293" s="3"/>
      <c r="E1293"/>
      <c r="F1293" t="e">
        <f>Table1[[#This Row],[Life expectancy at birth, total (years) '[SP.DYN.LE00.IN']]]/Table1[[#This Row],[Current health expenditure per capita (current US$) '[SH.XPD.CHEX.PC.CD']]]</f>
        <v>#DIV/0!</v>
      </c>
      <c r="G1293" s="2" t="e">
        <f>Table1[[#This Row],[Life expectancy at birth, total (years) '[SP.DYN.LE00.IN']]]/Table1[[#This Row],[Current health expenditure per capita (current US$) '[SH.XPD.CHEX.PC.CD']]]*1000</f>
        <v>#DIV/0!</v>
      </c>
    </row>
    <row r="1294" spans="1:7" x14ac:dyDescent="0.25">
      <c r="A1294" s="5" t="s">
        <v>232</v>
      </c>
      <c r="B1294" s="6" t="s">
        <v>318</v>
      </c>
      <c r="C1294" s="5">
        <v>2015</v>
      </c>
      <c r="D1294" s="7">
        <v>767.04455566000001</v>
      </c>
      <c r="E1294" s="11">
        <v>79.346000000000004</v>
      </c>
      <c r="F1294" s="10">
        <f>Table1[[#This Row],[Life expectancy at birth, total (years) '[SP.DYN.LE00.IN']]]/Table1[[#This Row],[Current health expenditure per capita (current US$) '[SH.XPD.CHEX.PC.CD']]]</f>
        <v>0.10344379529781957</v>
      </c>
      <c r="G1294" s="4">
        <f>Table1[[#This Row],[Life expectancy at birth, total (years) '[SP.DYN.LE00.IN']]]/Table1[[#This Row],[Current health expenditure per capita (current US$) '[SH.XPD.CHEX.PC.CD']]]*1000</f>
        <v>103.44379529781956</v>
      </c>
    </row>
    <row r="1295" spans="1:7" x14ac:dyDescent="0.25">
      <c r="A1295" s="5" t="s">
        <v>232</v>
      </c>
      <c r="B1295" s="6" t="s">
        <v>318</v>
      </c>
      <c r="C1295" s="5">
        <v>2016</v>
      </c>
      <c r="D1295" s="7">
        <v>714.48864746000004</v>
      </c>
      <c r="E1295" s="11">
        <v>79.581000000000003</v>
      </c>
      <c r="F1295" s="10">
        <f>Table1[[#This Row],[Life expectancy at birth, total (years) '[SP.DYN.LE00.IN']]]/Table1[[#This Row],[Current health expenditure per capita (current US$) '[SH.XPD.CHEX.PC.CD']]]</f>
        <v>0.11138175572545436</v>
      </c>
      <c r="G1295" s="4">
        <f>Table1[[#This Row],[Life expectancy at birth, total (years) '[SP.DYN.LE00.IN']]]/Table1[[#This Row],[Current health expenditure per capita (current US$) '[SH.XPD.CHEX.PC.CD']]]*1000</f>
        <v>111.38175572545437</v>
      </c>
    </row>
    <row r="1296" spans="1:7" x14ac:dyDescent="0.25">
      <c r="A1296" s="5" t="s">
        <v>232</v>
      </c>
      <c r="B1296" s="6" t="s">
        <v>318</v>
      </c>
      <c r="C1296" s="5">
        <v>2017</v>
      </c>
      <c r="D1296" s="7">
        <v>704.62951659999999</v>
      </c>
      <c r="E1296" s="11">
        <v>79.748000000000005</v>
      </c>
      <c r="F1296" s="10">
        <f>Table1[[#This Row],[Life expectancy at birth, total (years) '[SP.DYN.LE00.IN']]]/Table1[[#This Row],[Current health expenditure per capita (current US$) '[SH.XPD.CHEX.PC.CD']]]</f>
        <v>0.11317720606539804</v>
      </c>
      <c r="G1296" s="4">
        <f>Table1[[#This Row],[Life expectancy at birth, total (years) '[SP.DYN.LE00.IN']]]/Table1[[#This Row],[Current health expenditure per capita (current US$) '[SH.XPD.CHEX.PC.CD']]]*1000</f>
        <v>113.17720606539804</v>
      </c>
    </row>
    <row r="1297" spans="1:7" x14ac:dyDescent="0.25">
      <c r="A1297" s="5" t="s">
        <v>232</v>
      </c>
      <c r="B1297" s="6" t="s">
        <v>318</v>
      </c>
      <c r="C1297" s="5">
        <v>2018</v>
      </c>
      <c r="D1297" s="7">
        <v>639.78082274999997</v>
      </c>
      <c r="E1297" s="11">
        <v>79.864000000000004</v>
      </c>
      <c r="F1297" s="10">
        <f>Table1[[#This Row],[Life expectancy at birth, total (years) '[SP.DYN.LE00.IN']]]/Table1[[#This Row],[Current health expenditure per capita (current US$) '[SH.XPD.CHEX.PC.CD']]]</f>
        <v>0.12483024992327345</v>
      </c>
      <c r="G1297" s="4">
        <f>Table1[[#This Row],[Life expectancy at birth, total (years) '[SP.DYN.LE00.IN']]]/Table1[[#This Row],[Current health expenditure per capita (current US$) '[SH.XPD.CHEX.PC.CD']]]*1000</f>
        <v>124.83024992327344</v>
      </c>
    </row>
    <row r="1298" spans="1:7" x14ac:dyDescent="0.25">
      <c r="A1298" s="5" t="s">
        <v>232</v>
      </c>
      <c r="B1298" s="6" t="s">
        <v>318</v>
      </c>
      <c r="C1298" s="5">
        <v>2019</v>
      </c>
      <c r="D1298" s="7">
        <v>730.08325194999998</v>
      </c>
      <c r="E1298" s="11">
        <v>79.945999999999998</v>
      </c>
      <c r="F1298" s="10">
        <f>Table1[[#This Row],[Life expectancy at birth, total (years) '[SP.DYN.LE00.IN']]]/Table1[[#This Row],[Current health expenditure per capita (current US$) '[SH.XPD.CHEX.PC.CD']]]</f>
        <v>0.10950258040637142</v>
      </c>
      <c r="G1298" s="4">
        <f>Table1[[#This Row],[Life expectancy at birth, total (years) '[SP.DYN.LE00.IN']]]/Table1[[#This Row],[Current health expenditure per capita (current US$) '[SH.XPD.CHEX.PC.CD']]]*1000</f>
        <v>109.50258040637142</v>
      </c>
    </row>
    <row r="1299" spans="1:7" x14ac:dyDescent="0.25">
      <c r="A1299" s="5" t="s">
        <v>232</v>
      </c>
      <c r="B1299" s="6" t="s">
        <v>318</v>
      </c>
      <c r="C1299" s="5">
        <v>2020</v>
      </c>
      <c r="D1299" s="7">
        <v>859.24987793000003</v>
      </c>
      <c r="E1299" s="11">
        <v>77.763000000000005</v>
      </c>
      <c r="F1299" s="10">
        <f>Table1[[#This Row],[Life expectancy at birth, total (years) '[SP.DYN.LE00.IN']]]/Table1[[#This Row],[Current health expenditure per capita (current US$) '[SH.XPD.CHEX.PC.CD']]]</f>
        <v>9.0501031187036229E-2</v>
      </c>
      <c r="G1299" s="4">
        <f>Table1[[#This Row],[Life expectancy at birth, total (years) '[SP.DYN.LE00.IN']]]/Table1[[#This Row],[Current health expenditure per capita (current US$) '[SH.XPD.CHEX.PC.CD']]]*1000</f>
        <v>90.501031187036233</v>
      </c>
    </row>
    <row r="1300" spans="1:7" x14ac:dyDescent="0.25">
      <c r="A1300" s="5" t="s">
        <v>232</v>
      </c>
      <c r="B1300" s="6" t="s">
        <v>318</v>
      </c>
      <c r="C1300" s="5">
        <v>2021</v>
      </c>
      <c r="D1300" s="7">
        <v>843.01953125</v>
      </c>
      <c r="E1300" s="11">
        <v>75.968999999999994</v>
      </c>
      <c r="F1300" s="10">
        <f>Table1[[#This Row],[Life expectancy at birth, total (years) '[SP.DYN.LE00.IN']]]/Table1[[#This Row],[Current health expenditure per capita (current US$) '[SH.XPD.CHEX.PC.CD']]]</f>
        <v>9.01153498630759E-2</v>
      </c>
      <c r="G1300" s="4">
        <f>Table1[[#This Row],[Life expectancy at birth, total (years) '[SP.DYN.LE00.IN']]]/Table1[[#This Row],[Current health expenditure per capita (current US$) '[SH.XPD.CHEX.PC.CD']]]*1000</f>
        <v>90.115349863075906</v>
      </c>
    </row>
    <row r="1301" spans="1:7" x14ac:dyDescent="0.25">
      <c r="A1301" s="5" t="s">
        <v>232</v>
      </c>
      <c r="B1301" s="6" t="s">
        <v>318</v>
      </c>
      <c r="C1301" s="5">
        <v>2022</v>
      </c>
      <c r="D1301" s="7">
        <v>712.06097411999997</v>
      </c>
      <c r="E1301" s="11">
        <v>77.911000000000001</v>
      </c>
      <c r="F1301" s="10">
        <f>Table1[[#This Row],[Life expectancy at birth, total (years) '[SP.DYN.LE00.IN']]]/Table1[[#This Row],[Current health expenditure per capita (current US$) '[SH.XPD.CHEX.PC.CD']]]</f>
        <v>0.10941619163483331</v>
      </c>
      <c r="G1301" s="4">
        <f>Table1[[#This Row],[Life expectancy at birth, total (years) '[SP.DYN.LE00.IN']]]/Table1[[#This Row],[Current health expenditure per capita (current US$) '[SH.XPD.CHEX.PC.CD']]]*1000</f>
        <v>109.41619163483331</v>
      </c>
    </row>
    <row r="1302" spans="1:7" x14ac:dyDescent="0.25">
      <c r="A1302" s="5" t="s">
        <v>232</v>
      </c>
      <c r="B1302" s="6" t="s">
        <v>318</v>
      </c>
      <c r="C1302" s="5">
        <v>2023</v>
      </c>
      <c r="D1302" s="7">
        <v>732.04089354999996</v>
      </c>
      <c r="E1302" s="11">
        <v>80.031000000000006</v>
      </c>
      <c r="F1302" s="10">
        <f>Table1[[#This Row],[Life expectancy at birth, total (years) '[SP.DYN.LE00.IN']]]/Table1[[#This Row],[Current health expenditure per capita (current US$) '[SH.XPD.CHEX.PC.CD']]]</f>
        <v>0.10932585966870403</v>
      </c>
      <c r="G1302" s="4">
        <f>Table1[[#This Row],[Life expectancy at birth, total (years) '[SP.DYN.LE00.IN']]]/Table1[[#This Row],[Current health expenditure per capita (current US$) '[SH.XPD.CHEX.PC.CD']]]*1000</f>
        <v>109.32585966870404</v>
      </c>
    </row>
    <row r="1303" spans="1:7" hidden="1" x14ac:dyDescent="0.25">
      <c r="B1303" s="1"/>
      <c r="D1303" s="3"/>
      <c r="E1303"/>
      <c r="F1303" t="e">
        <f>Table1[[#This Row],[Life expectancy at birth, total (years) '[SP.DYN.LE00.IN']]]/Table1[[#This Row],[Current health expenditure per capita (current US$) '[SH.XPD.CHEX.PC.CD']]]</f>
        <v>#DIV/0!</v>
      </c>
      <c r="G1303" s="2" t="e">
        <f>Table1[[#This Row],[Life expectancy at birth, total (years) '[SP.DYN.LE00.IN']]]/Table1[[#This Row],[Current health expenditure per capita (current US$) '[SH.XPD.CHEX.PC.CD']]]*1000</f>
        <v>#DIV/0!</v>
      </c>
    </row>
    <row r="1304" spans="1:7" x14ac:dyDescent="0.25">
      <c r="A1304" s="5" t="s">
        <v>403</v>
      </c>
      <c r="B1304" s="6" t="s">
        <v>290</v>
      </c>
      <c r="C1304" s="5">
        <v>2015</v>
      </c>
      <c r="D1304" s="7">
        <v>33.993598939999998</v>
      </c>
      <c r="E1304" s="11">
        <v>65.641000000000005</v>
      </c>
      <c r="F1304" s="10">
        <f>Table1[[#This Row],[Life expectancy at birth, total (years) '[SP.DYN.LE00.IN']]]/Table1[[#This Row],[Current health expenditure per capita (current US$) '[SH.XPD.CHEX.PC.CD']]]</f>
        <v>1.9309811860714978</v>
      </c>
      <c r="G1304" s="4">
        <f>Table1[[#This Row],[Life expectancy at birth, total (years) '[SP.DYN.LE00.IN']]]/Table1[[#This Row],[Current health expenditure per capita (current US$) '[SH.XPD.CHEX.PC.CD']]]*1000</f>
        <v>1930.9811860714979</v>
      </c>
    </row>
    <row r="1305" spans="1:7" x14ac:dyDescent="0.25">
      <c r="A1305" s="5" t="s">
        <v>403</v>
      </c>
      <c r="B1305" s="6" t="s">
        <v>290</v>
      </c>
      <c r="C1305" s="5">
        <v>2016</v>
      </c>
      <c r="D1305" s="7">
        <v>36.469341280000002</v>
      </c>
      <c r="E1305" s="11">
        <v>65.942999999999998</v>
      </c>
      <c r="F1305" s="10">
        <f>Table1[[#This Row],[Life expectancy at birth, total (years) '[SP.DYN.LE00.IN']]]/Table1[[#This Row],[Current health expenditure per capita (current US$) '[SH.XPD.CHEX.PC.CD']]]</f>
        <v>1.808176338961283</v>
      </c>
      <c r="G1305" s="4">
        <f>Table1[[#This Row],[Life expectancy at birth, total (years) '[SP.DYN.LE00.IN']]]/Table1[[#This Row],[Current health expenditure per capita (current US$) '[SH.XPD.CHEX.PC.CD']]]*1000</f>
        <v>1808.1763389612831</v>
      </c>
    </row>
    <row r="1306" spans="1:7" x14ac:dyDescent="0.25">
      <c r="A1306" s="5" t="s">
        <v>403</v>
      </c>
      <c r="B1306" s="6" t="s">
        <v>290</v>
      </c>
      <c r="C1306" s="5">
        <v>2017</v>
      </c>
      <c r="D1306" s="7">
        <v>42.07228851</v>
      </c>
      <c r="E1306" s="11">
        <v>66.222999999999999</v>
      </c>
      <c r="F1306" s="10">
        <f>Table1[[#This Row],[Life expectancy at birth, total (years) '[SP.DYN.LE00.IN']]]/Table1[[#This Row],[Current health expenditure per capita (current US$) '[SH.XPD.CHEX.PC.CD']]]</f>
        <v>1.5740289474450555</v>
      </c>
      <c r="G1306" s="4">
        <f>Table1[[#This Row],[Life expectancy at birth, total (years) '[SP.DYN.LE00.IN']]]/Table1[[#This Row],[Current health expenditure per capita (current US$) '[SH.XPD.CHEX.PC.CD']]]*1000</f>
        <v>1574.0289474450556</v>
      </c>
    </row>
    <row r="1307" spans="1:7" x14ac:dyDescent="0.25">
      <c r="A1307" s="5" t="s">
        <v>403</v>
      </c>
      <c r="B1307" s="6" t="s">
        <v>290</v>
      </c>
      <c r="C1307" s="5">
        <v>2018</v>
      </c>
      <c r="D1307" s="7">
        <v>40.095783230000002</v>
      </c>
      <c r="E1307" s="11">
        <v>66.480999999999995</v>
      </c>
      <c r="F1307" s="10">
        <f>Table1[[#This Row],[Life expectancy at birth, total (years) '[SP.DYN.LE00.IN']]]/Table1[[#This Row],[Current health expenditure per capita (current US$) '[SH.XPD.CHEX.PC.CD']]]</f>
        <v>1.6580546542425028</v>
      </c>
      <c r="G1307" s="4">
        <f>Table1[[#This Row],[Life expectancy at birth, total (years) '[SP.DYN.LE00.IN']]]/Table1[[#This Row],[Current health expenditure per capita (current US$) '[SH.XPD.CHEX.PC.CD']]]*1000</f>
        <v>1658.0546542425027</v>
      </c>
    </row>
    <row r="1308" spans="1:7" x14ac:dyDescent="0.25">
      <c r="A1308" s="5" t="s">
        <v>403</v>
      </c>
      <c r="B1308" s="6" t="s">
        <v>290</v>
      </c>
      <c r="C1308" s="5">
        <v>2019</v>
      </c>
      <c r="D1308" s="7">
        <v>36.01374817</v>
      </c>
      <c r="E1308" s="11">
        <v>66.728999999999999</v>
      </c>
      <c r="F1308" s="10">
        <f>Table1[[#This Row],[Life expectancy at birth, total (years) '[SP.DYN.LE00.IN']]]/Table1[[#This Row],[Current health expenditure per capita (current US$) '[SH.XPD.CHEX.PC.CD']]]</f>
        <v>1.8528757319291267</v>
      </c>
      <c r="G1308" s="4">
        <f>Table1[[#This Row],[Life expectancy at birth, total (years) '[SP.DYN.LE00.IN']]]/Table1[[#This Row],[Current health expenditure per capita (current US$) '[SH.XPD.CHEX.PC.CD']]]*1000</f>
        <v>1852.8757319291267</v>
      </c>
    </row>
    <row r="1309" spans="1:7" x14ac:dyDescent="0.25">
      <c r="A1309" s="5" t="s">
        <v>403</v>
      </c>
      <c r="B1309" s="6" t="s">
        <v>290</v>
      </c>
      <c r="C1309" s="5">
        <v>2020</v>
      </c>
      <c r="D1309" s="7">
        <v>36.909130099999999</v>
      </c>
      <c r="E1309" s="11">
        <v>65.700999999999993</v>
      </c>
      <c r="F1309" s="10">
        <f>Table1[[#This Row],[Life expectancy at birth, total (years) '[SP.DYN.LE00.IN']]]/Table1[[#This Row],[Current health expenditure per capita (current US$) '[SH.XPD.CHEX.PC.CD']]]</f>
        <v>1.7800744645563997</v>
      </c>
      <c r="G1309" s="4">
        <f>Table1[[#This Row],[Life expectancy at birth, total (years) '[SP.DYN.LE00.IN']]]/Table1[[#This Row],[Current health expenditure per capita (current US$) '[SH.XPD.CHEX.PC.CD']]]*1000</f>
        <v>1780.0744645563998</v>
      </c>
    </row>
    <row r="1310" spans="1:7" x14ac:dyDescent="0.25">
      <c r="A1310" s="5" t="s">
        <v>403</v>
      </c>
      <c r="B1310" s="6" t="s">
        <v>290</v>
      </c>
      <c r="C1310" s="5">
        <v>2021</v>
      </c>
      <c r="D1310" s="7">
        <v>42.796398160000003</v>
      </c>
      <c r="E1310" s="11">
        <v>65.772999999999996</v>
      </c>
      <c r="F1310" s="10">
        <f>Table1[[#This Row],[Life expectancy at birth, total (years) '[SP.DYN.LE00.IN']]]/Table1[[#This Row],[Current health expenditure per capita (current US$) '[SH.XPD.CHEX.PC.CD']]]</f>
        <v>1.5368816729412351</v>
      </c>
      <c r="G1310" s="4">
        <f>Table1[[#This Row],[Life expectancy at birth, total (years) '[SP.DYN.LE00.IN']]]/Table1[[#This Row],[Current health expenditure per capita (current US$) '[SH.XPD.CHEX.PC.CD']]]*1000</f>
        <v>1536.8816729412351</v>
      </c>
    </row>
    <row r="1311" spans="1:7" x14ac:dyDescent="0.25">
      <c r="A1311" s="5" t="s">
        <v>403</v>
      </c>
      <c r="B1311" s="6" t="s">
        <v>290</v>
      </c>
      <c r="C1311" s="5">
        <v>2022</v>
      </c>
      <c r="D1311" s="7">
        <v>38.766021729999999</v>
      </c>
      <c r="E1311" s="11">
        <v>67.417000000000002</v>
      </c>
      <c r="F1311" s="10">
        <f>Table1[[#This Row],[Life expectancy at birth, total (years) '[SP.DYN.LE00.IN']]]/Table1[[#This Row],[Current health expenditure per capita (current US$) '[SH.XPD.CHEX.PC.CD']]]</f>
        <v>1.7390745036865047</v>
      </c>
      <c r="G1311" s="4">
        <f>Table1[[#This Row],[Life expectancy at birth, total (years) '[SP.DYN.LE00.IN']]]/Table1[[#This Row],[Current health expenditure per capita (current US$) '[SH.XPD.CHEX.PC.CD']]]*1000</f>
        <v>1739.0745036865048</v>
      </c>
    </row>
    <row r="1312" spans="1:7" x14ac:dyDescent="0.25">
      <c r="A1312" s="5" t="s">
        <v>403</v>
      </c>
      <c r="B1312" s="6" t="s">
        <v>290</v>
      </c>
      <c r="C1312" s="5">
        <v>2023</v>
      </c>
      <c r="D1312" s="7">
        <v>30.48608398</v>
      </c>
      <c r="E1312" s="11">
        <v>67.649000000000001</v>
      </c>
      <c r="F1312" s="10">
        <f>Table1[[#This Row],[Life expectancy at birth, total (years) '[SP.DYN.LE00.IN']]]/Table1[[#This Row],[Current health expenditure per capita (current US$) '[SH.XPD.CHEX.PC.CD']]]</f>
        <v>2.219012453169789</v>
      </c>
      <c r="G1312" s="4">
        <f>Table1[[#This Row],[Life expectancy at birth, total (years) '[SP.DYN.LE00.IN']]]/Table1[[#This Row],[Current health expenditure per capita (current US$) '[SH.XPD.CHEX.PC.CD']]]*1000</f>
        <v>2219.0124531697888</v>
      </c>
    </row>
    <row r="1313" spans="1:7" hidden="1" x14ac:dyDescent="0.25">
      <c r="B1313" s="1"/>
      <c r="D1313" s="3"/>
      <c r="E1313"/>
      <c r="F1313" t="e">
        <f>Table1[[#This Row],[Life expectancy at birth, total (years) '[SP.DYN.LE00.IN']]]/Table1[[#This Row],[Current health expenditure per capita (current US$) '[SH.XPD.CHEX.PC.CD']]]</f>
        <v>#DIV/0!</v>
      </c>
      <c r="G1313" s="2" t="e">
        <f>Table1[[#This Row],[Life expectancy at birth, total (years) '[SP.DYN.LE00.IN']]]/Table1[[#This Row],[Current health expenditure per capita (current US$) '[SH.XPD.CHEX.PC.CD']]]*1000</f>
        <v>#DIV/0!</v>
      </c>
    </row>
    <row r="1314" spans="1:7" x14ac:dyDescent="0.25">
      <c r="A1314" s="5" t="s">
        <v>240</v>
      </c>
      <c r="B1314" s="6" t="s">
        <v>182</v>
      </c>
      <c r="C1314" s="5">
        <v>2015</v>
      </c>
      <c r="D1314" s="7">
        <v>1554.9118652300001</v>
      </c>
      <c r="E1314" s="11">
        <v>69.069999999999993</v>
      </c>
      <c r="F1314" s="10">
        <f>Table1[[#This Row],[Life expectancy at birth, total (years) '[SP.DYN.LE00.IN']]]/Table1[[#This Row],[Current health expenditure per capita (current US$) '[SH.XPD.CHEX.PC.CD']]]</f>
        <v>4.442052411104553E-2</v>
      </c>
      <c r="G1314" s="4">
        <f>Table1[[#This Row],[Life expectancy at birth, total (years) '[SP.DYN.LE00.IN']]]/Table1[[#This Row],[Current health expenditure per capita (current US$) '[SH.XPD.CHEX.PC.CD']]]*1000</f>
        <v>44.42052411104553</v>
      </c>
    </row>
    <row r="1315" spans="1:7" x14ac:dyDescent="0.25">
      <c r="A1315" s="5" t="s">
        <v>240</v>
      </c>
      <c r="B1315" s="6" t="s">
        <v>182</v>
      </c>
      <c r="C1315" s="5">
        <v>2016</v>
      </c>
      <c r="D1315" s="7">
        <v>1704.62316895</v>
      </c>
      <c r="E1315" s="11">
        <v>69.046000000000006</v>
      </c>
      <c r="F1315" s="10">
        <f>Table1[[#This Row],[Life expectancy at birth, total (years) '[SP.DYN.LE00.IN']]]/Table1[[#This Row],[Current health expenditure per capita (current US$) '[SH.XPD.CHEX.PC.CD']]]</f>
        <v>4.0505139938072296E-2</v>
      </c>
      <c r="G1315" s="4">
        <f>Table1[[#This Row],[Life expectancy at birth, total (years) '[SP.DYN.LE00.IN']]]/Table1[[#This Row],[Current health expenditure per capita (current US$) '[SH.XPD.CHEX.PC.CD']]]*1000</f>
        <v>40.505139938072297</v>
      </c>
    </row>
    <row r="1316" spans="1:7" x14ac:dyDescent="0.25">
      <c r="A1316" s="5" t="s">
        <v>240</v>
      </c>
      <c r="B1316" s="6" t="s">
        <v>182</v>
      </c>
      <c r="C1316" s="5">
        <v>2017</v>
      </c>
      <c r="D1316" s="7">
        <v>1775.32849121</v>
      </c>
      <c r="E1316" s="11">
        <v>69.019000000000005</v>
      </c>
      <c r="F1316" s="10">
        <f>Table1[[#This Row],[Life expectancy at birth, total (years) '[SP.DYN.LE00.IN']]]/Table1[[#This Row],[Current health expenditure per capita (current US$) '[SH.XPD.CHEX.PC.CD']]]</f>
        <v>3.8876748918144799E-2</v>
      </c>
      <c r="G1316" s="4">
        <f>Table1[[#This Row],[Life expectancy at birth, total (years) '[SP.DYN.LE00.IN']]]/Table1[[#This Row],[Current health expenditure per capita (current US$) '[SH.XPD.CHEX.PC.CD']]]*1000</f>
        <v>38.876748918144798</v>
      </c>
    </row>
    <row r="1317" spans="1:7" x14ac:dyDescent="0.25">
      <c r="A1317" s="5" t="s">
        <v>240</v>
      </c>
      <c r="B1317" s="6" t="s">
        <v>182</v>
      </c>
      <c r="C1317" s="5">
        <v>2018</v>
      </c>
      <c r="D1317" s="7">
        <v>1809.2207031299999</v>
      </c>
      <c r="E1317" s="11">
        <v>68.989000000000004</v>
      </c>
      <c r="F1317" s="10">
        <f>Table1[[#This Row],[Life expectancy at birth, total (years) '[SP.DYN.LE00.IN']]]/Table1[[#This Row],[Current health expenditure per capita (current US$) '[SH.XPD.CHEX.PC.CD']]]</f>
        <v>3.8131887326210229E-2</v>
      </c>
      <c r="G1317" s="4">
        <f>Table1[[#This Row],[Life expectancy at birth, total (years) '[SP.DYN.LE00.IN']]]/Table1[[#This Row],[Current health expenditure per capita (current US$) '[SH.XPD.CHEX.PC.CD']]]*1000</f>
        <v>38.131887326210226</v>
      </c>
    </row>
    <row r="1318" spans="1:7" x14ac:dyDescent="0.25">
      <c r="A1318" s="5" t="s">
        <v>240</v>
      </c>
      <c r="B1318" s="6" t="s">
        <v>182</v>
      </c>
      <c r="C1318" s="5">
        <v>2019</v>
      </c>
      <c r="D1318" s="7">
        <v>1928.91564941</v>
      </c>
      <c r="E1318" s="11">
        <v>68.981999999999999</v>
      </c>
      <c r="F1318" s="10">
        <f>Table1[[#This Row],[Life expectancy at birth, total (years) '[SP.DYN.LE00.IN']]]/Table1[[#This Row],[Current health expenditure per capita (current US$) '[SH.XPD.CHEX.PC.CD']]]</f>
        <v>3.5762061457223188E-2</v>
      </c>
      <c r="G1318" s="4">
        <f>Table1[[#This Row],[Life expectancy at birth, total (years) '[SP.DYN.LE00.IN']]]/Table1[[#This Row],[Current health expenditure per capita (current US$) '[SH.XPD.CHEX.PC.CD']]]*1000</f>
        <v>35.76206145722319</v>
      </c>
    </row>
    <row r="1319" spans="1:7" x14ac:dyDescent="0.25">
      <c r="A1319" s="5" t="s">
        <v>240</v>
      </c>
      <c r="B1319" s="6" t="s">
        <v>182</v>
      </c>
      <c r="C1319" s="5">
        <v>2020</v>
      </c>
      <c r="D1319" s="7">
        <v>1938.3383789100001</v>
      </c>
      <c r="E1319" s="11">
        <v>68.688999999999993</v>
      </c>
      <c r="F1319" s="10">
        <f>Table1[[#This Row],[Life expectancy at birth, total (years) '[SP.DYN.LE00.IN']]]/Table1[[#This Row],[Current health expenditure per capita (current US$) '[SH.XPD.CHEX.PC.CD']]]</f>
        <v>3.5437053069457554E-2</v>
      </c>
      <c r="G1319" s="4">
        <f>Table1[[#This Row],[Life expectancy at birth, total (years) '[SP.DYN.LE00.IN']]]/Table1[[#This Row],[Current health expenditure per capita (current US$) '[SH.XPD.CHEX.PC.CD']]]*1000</f>
        <v>35.437053069457555</v>
      </c>
    </row>
    <row r="1320" spans="1:7" x14ac:dyDescent="0.25">
      <c r="A1320" s="5" t="s">
        <v>240</v>
      </c>
      <c r="B1320" s="6" t="s">
        <v>182</v>
      </c>
      <c r="C1320" s="5">
        <v>2021</v>
      </c>
      <c r="D1320" s="7">
        <v>1931.31152344</v>
      </c>
      <c r="E1320" s="11">
        <v>68.563000000000002</v>
      </c>
      <c r="F1320" s="10">
        <f>Table1[[#This Row],[Life expectancy at birth, total (years) '[SP.DYN.LE00.IN']]]/Table1[[#This Row],[Current health expenditure per capita (current US$) '[SH.XPD.CHEX.PC.CD']]]</f>
        <v>3.5500746082577833E-2</v>
      </c>
      <c r="G1320" s="4">
        <f>Table1[[#This Row],[Life expectancy at birth, total (years) '[SP.DYN.LE00.IN']]]/Table1[[#This Row],[Current health expenditure per capita (current US$) '[SH.XPD.CHEX.PC.CD']]]*1000</f>
        <v>35.500746082577834</v>
      </c>
    </row>
    <row r="1321" spans="1:7" x14ac:dyDescent="0.25">
      <c r="A1321" s="5" t="s">
        <v>240</v>
      </c>
      <c r="B1321" s="6" t="s">
        <v>182</v>
      </c>
      <c r="C1321" s="5">
        <v>2022</v>
      </c>
      <c r="D1321" s="7">
        <v>2077.734375</v>
      </c>
      <c r="E1321" s="11">
        <v>68.921999999999997</v>
      </c>
      <c r="F1321" s="10">
        <f>Table1[[#This Row],[Life expectancy at birth, total (years) '[SP.DYN.LE00.IN']]]/Table1[[#This Row],[Current health expenditure per capita (current US$) '[SH.XPD.CHEX.PC.CD']]]</f>
        <v>3.3171708967851099E-2</v>
      </c>
      <c r="G1321" s="4">
        <f>Table1[[#This Row],[Life expectancy at birth, total (years) '[SP.DYN.LE00.IN']]]/Table1[[#This Row],[Current health expenditure per capita (current US$) '[SH.XPD.CHEX.PC.CD']]]*1000</f>
        <v>33.171708967851096</v>
      </c>
    </row>
    <row r="1322" spans="1:7" x14ac:dyDescent="0.25">
      <c r="A1322" s="5" t="s">
        <v>240</v>
      </c>
      <c r="B1322" s="6" t="s">
        <v>182</v>
      </c>
      <c r="C1322" s="5">
        <v>2023</v>
      </c>
      <c r="D1322" s="7">
        <v>1683.8458252</v>
      </c>
      <c r="E1322" s="11">
        <v>69.269000000000005</v>
      </c>
      <c r="F1322" s="10">
        <f>Table1[[#This Row],[Life expectancy at birth, total (years) '[SP.DYN.LE00.IN']]]/Table1[[#This Row],[Current health expenditure per capita (current US$) '[SH.XPD.CHEX.PC.CD']]]</f>
        <v>4.1137376690512942E-2</v>
      </c>
      <c r="G1322" s="4">
        <f>Table1[[#This Row],[Life expectancy at birth, total (years) '[SP.DYN.LE00.IN']]]/Table1[[#This Row],[Current health expenditure per capita (current US$) '[SH.XPD.CHEX.PC.CD']]]*1000</f>
        <v>41.137376690512944</v>
      </c>
    </row>
    <row r="1323" spans="1:7" hidden="1" x14ac:dyDescent="0.25">
      <c r="B1323" s="1"/>
      <c r="D1323" s="3"/>
      <c r="E1323"/>
      <c r="F1323" t="e">
        <f>Table1[[#This Row],[Life expectancy at birth, total (years) '[SP.DYN.LE00.IN']]]/Table1[[#This Row],[Current health expenditure per capita (current US$) '[SH.XPD.CHEX.PC.CD']]]</f>
        <v>#DIV/0!</v>
      </c>
      <c r="G1323" s="2" t="e">
        <f>Table1[[#This Row],[Life expectancy at birth, total (years) '[SP.DYN.LE00.IN']]]/Table1[[#This Row],[Current health expenditure per capita (current US$) '[SH.XPD.CHEX.PC.CD']]]*1000</f>
        <v>#DIV/0!</v>
      </c>
    </row>
    <row r="1324" spans="1:7" x14ac:dyDescent="0.25">
      <c r="A1324" s="5" t="s">
        <v>97</v>
      </c>
      <c r="B1324" s="6" t="s">
        <v>127</v>
      </c>
      <c r="C1324" s="5">
        <v>2015</v>
      </c>
      <c r="D1324" s="7">
        <v>982.06530762</v>
      </c>
      <c r="E1324" s="11">
        <v>77.582999999999998</v>
      </c>
      <c r="F1324" s="10">
        <f>Table1[[#This Row],[Life expectancy at birth, total (years) '[SP.DYN.LE00.IN']]]/Table1[[#This Row],[Current health expenditure per capita (current US$) '[SH.XPD.CHEX.PC.CD']]]</f>
        <v>7.8999837788812241E-2</v>
      </c>
      <c r="G1324" s="4">
        <f>Table1[[#This Row],[Life expectancy at birth, total (years) '[SP.DYN.LE00.IN']]]/Table1[[#This Row],[Current health expenditure per capita (current US$) '[SH.XPD.CHEX.PC.CD']]]*1000</f>
        <v>78.999837788812243</v>
      </c>
    </row>
    <row r="1325" spans="1:7" x14ac:dyDescent="0.25">
      <c r="A1325" s="5" t="s">
        <v>97</v>
      </c>
      <c r="B1325" s="6" t="s">
        <v>127</v>
      </c>
      <c r="C1325" s="5">
        <v>2016</v>
      </c>
      <c r="D1325" s="7">
        <v>1056.68481445</v>
      </c>
      <c r="E1325" s="11">
        <v>77.772000000000006</v>
      </c>
      <c r="F1325" s="10">
        <f>Table1[[#This Row],[Life expectancy at birth, total (years) '[SP.DYN.LE00.IN']]]/Table1[[#This Row],[Current health expenditure per capita (current US$) '[SH.XPD.CHEX.PC.CD']]]</f>
        <v>7.3599997782195822E-2</v>
      </c>
      <c r="G1325" s="4">
        <f>Table1[[#This Row],[Life expectancy at birth, total (years) '[SP.DYN.LE00.IN']]]/Table1[[#This Row],[Current health expenditure per capita (current US$) '[SH.XPD.CHEX.PC.CD']]]*1000</f>
        <v>73.599997782195828</v>
      </c>
    </row>
    <row r="1326" spans="1:7" x14ac:dyDescent="0.25">
      <c r="A1326" s="5" t="s">
        <v>97</v>
      </c>
      <c r="B1326" s="6" t="s">
        <v>127</v>
      </c>
      <c r="C1326" s="5">
        <v>2017</v>
      </c>
      <c r="D1326" s="7">
        <v>1126.96154785</v>
      </c>
      <c r="E1326" s="11">
        <v>77.900999999999996</v>
      </c>
      <c r="F1326" s="10">
        <f>Table1[[#This Row],[Life expectancy at birth, total (years) '[SP.DYN.LE00.IN']]]/Table1[[#This Row],[Current health expenditure per capita (current US$) '[SH.XPD.CHEX.PC.CD']]]</f>
        <v>6.912480745116667E-2</v>
      </c>
      <c r="G1326" s="4">
        <f>Table1[[#This Row],[Life expectancy at birth, total (years) '[SP.DYN.LE00.IN']]]/Table1[[#This Row],[Current health expenditure per capita (current US$) '[SH.XPD.CHEX.PC.CD']]]*1000</f>
        <v>69.124807451166674</v>
      </c>
    </row>
    <row r="1327" spans="1:7" x14ac:dyDescent="0.25">
      <c r="A1327" s="5" t="s">
        <v>97</v>
      </c>
      <c r="B1327" s="6" t="s">
        <v>127</v>
      </c>
      <c r="C1327" s="5">
        <v>2018</v>
      </c>
      <c r="D1327" s="7">
        <v>1227.3055419899999</v>
      </c>
      <c r="E1327" s="11">
        <v>78.266000000000005</v>
      </c>
      <c r="F1327" s="10">
        <f>Table1[[#This Row],[Life expectancy at birth, total (years) '[SP.DYN.LE00.IN']]]/Table1[[#This Row],[Current health expenditure per capita (current US$) '[SH.XPD.CHEX.PC.CD']]]</f>
        <v>6.377059120347206E-2</v>
      </c>
      <c r="G1327" s="4">
        <f>Table1[[#This Row],[Life expectancy at birth, total (years) '[SP.DYN.LE00.IN']]]/Table1[[#This Row],[Current health expenditure per capita (current US$) '[SH.XPD.CHEX.PC.CD']]]*1000</f>
        <v>63.770591203472058</v>
      </c>
    </row>
    <row r="1328" spans="1:7" x14ac:dyDescent="0.25">
      <c r="A1328" s="5" t="s">
        <v>97</v>
      </c>
      <c r="B1328" s="6" t="s">
        <v>127</v>
      </c>
      <c r="C1328" s="5">
        <v>2019</v>
      </c>
      <c r="D1328" s="7">
        <v>1339.45153809</v>
      </c>
      <c r="E1328" s="11">
        <v>78.513999999999996</v>
      </c>
      <c r="F1328" s="10">
        <f>Table1[[#This Row],[Life expectancy at birth, total (years) '[SP.DYN.LE00.IN']]]/Table1[[#This Row],[Current health expenditure per capita (current US$) '[SH.XPD.CHEX.PC.CD']]]</f>
        <v>5.8616529054838044E-2</v>
      </c>
      <c r="G1328" s="4">
        <f>Table1[[#This Row],[Life expectancy at birth, total (years) '[SP.DYN.LE00.IN']]]/Table1[[#This Row],[Current health expenditure per capita (current US$) '[SH.XPD.CHEX.PC.CD']]]*1000</f>
        <v>58.616529054838047</v>
      </c>
    </row>
    <row r="1329" spans="1:7" x14ac:dyDescent="0.25">
      <c r="A1329" s="5" t="s">
        <v>97</v>
      </c>
      <c r="B1329" s="6" t="s">
        <v>127</v>
      </c>
      <c r="C1329" s="5">
        <v>2020</v>
      </c>
      <c r="D1329" s="7">
        <v>1358.4498291</v>
      </c>
      <c r="E1329" s="11">
        <v>76.33</v>
      </c>
      <c r="F1329" s="10">
        <f>Table1[[#This Row],[Life expectancy at birth, total (years) '[SP.DYN.LE00.IN']]]/Table1[[#This Row],[Current health expenditure per capita (current US$) '[SH.XPD.CHEX.PC.CD']]]</f>
        <v>5.6189046047118385E-2</v>
      </c>
      <c r="G1329" s="4">
        <f>Table1[[#This Row],[Life expectancy at birth, total (years) '[SP.DYN.LE00.IN']]]/Table1[[#This Row],[Current health expenditure per capita (current US$) '[SH.XPD.CHEX.PC.CD']]]*1000</f>
        <v>56.189046047118381</v>
      </c>
    </row>
    <row r="1330" spans="1:7" x14ac:dyDescent="0.25">
      <c r="A1330" s="5" t="s">
        <v>97</v>
      </c>
      <c r="B1330" s="6" t="s">
        <v>127</v>
      </c>
      <c r="C1330" s="5">
        <v>2021</v>
      </c>
      <c r="D1330" s="7">
        <v>1417.1541748</v>
      </c>
      <c r="E1330" s="11">
        <v>77.004000000000005</v>
      </c>
      <c r="F1330" s="10">
        <f>Table1[[#This Row],[Life expectancy at birth, total (years) '[SP.DYN.LE00.IN']]]/Table1[[#This Row],[Current health expenditure per capita (current US$) '[SH.XPD.CHEX.PC.CD']]]</f>
        <v>5.4337066050606259E-2</v>
      </c>
      <c r="G1330" s="4">
        <f>Table1[[#This Row],[Life expectancy at birth, total (years) '[SP.DYN.LE00.IN']]]/Table1[[#This Row],[Current health expenditure per capita (current US$) '[SH.XPD.CHEX.PC.CD']]]*1000</f>
        <v>54.337066050606261</v>
      </c>
    </row>
    <row r="1331" spans="1:7" x14ac:dyDescent="0.25">
      <c r="A1331" s="5" t="s">
        <v>97</v>
      </c>
      <c r="B1331" s="6" t="s">
        <v>127</v>
      </c>
      <c r="C1331" s="5">
        <v>2022</v>
      </c>
      <c r="D1331" s="7">
        <v>1572.9301757799999</v>
      </c>
      <c r="E1331" s="11">
        <v>79.323999999999998</v>
      </c>
      <c r="F1331" s="10">
        <f>Table1[[#This Row],[Life expectancy at birth, total (years) '[SP.DYN.LE00.IN']]]/Table1[[#This Row],[Current health expenditure per capita (current US$) '[SH.XPD.CHEX.PC.CD']]]</f>
        <v>5.0430719189848365E-2</v>
      </c>
      <c r="G1331" s="4">
        <f>Table1[[#This Row],[Life expectancy at birth, total (years) '[SP.DYN.LE00.IN']]]/Table1[[#This Row],[Current health expenditure per capita (current US$) '[SH.XPD.CHEX.PC.CD']]]*1000</f>
        <v>50.430719189848368</v>
      </c>
    </row>
    <row r="1332" spans="1:7" x14ac:dyDescent="0.25">
      <c r="A1332" s="5" t="s">
        <v>97</v>
      </c>
      <c r="B1332" s="6" t="s">
        <v>127</v>
      </c>
      <c r="C1332" s="5">
        <v>2023</v>
      </c>
      <c r="D1332" s="7">
        <v>1557.81286621</v>
      </c>
      <c r="E1332" s="11">
        <v>79.593999999999994</v>
      </c>
      <c r="F1332" s="10">
        <f>Table1[[#This Row],[Life expectancy at birth, total (years) '[SP.DYN.LE00.IN']]]/Table1[[#This Row],[Current health expenditure per capita (current US$) '[SH.XPD.CHEX.PC.CD']]]</f>
        <v>5.1093428309938203E-2</v>
      </c>
      <c r="G1332" s="4">
        <f>Table1[[#This Row],[Life expectancy at birth, total (years) '[SP.DYN.LE00.IN']]]/Table1[[#This Row],[Current health expenditure per capita (current US$) '[SH.XPD.CHEX.PC.CD']]]*1000</f>
        <v>51.093428309938204</v>
      </c>
    </row>
    <row r="1333" spans="1:7" hidden="1" x14ac:dyDescent="0.25">
      <c r="B1333" s="1"/>
      <c r="D1333" s="3"/>
      <c r="E1333"/>
      <c r="F1333" t="e">
        <f>Table1[[#This Row],[Life expectancy at birth, total (years) '[SP.DYN.LE00.IN']]]/Table1[[#This Row],[Current health expenditure per capita (current US$) '[SH.XPD.CHEX.PC.CD']]]</f>
        <v>#DIV/0!</v>
      </c>
      <c r="G1333" s="2" t="e">
        <f>Table1[[#This Row],[Life expectancy at birth, total (years) '[SP.DYN.LE00.IN']]]/Table1[[#This Row],[Current health expenditure per capita (current US$) '[SH.XPD.CHEX.PC.CD']]]*1000</f>
        <v>#DIV/0!</v>
      </c>
    </row>
    <row r="1334" spans="1:7" x14ac:dyDescent="0.25">
      <c r="A1334" s="5" t="s">
        <v>346</v>
      </c>
      <c r="B1334" s="6" t="s">
        <v>350</v>
      </c>
      <c r="C1334" s="5">
        <v>2015</v>
      </c>
      <c r="D1334" s="7">
        <v>45.189952849999997</v>
      </c>
      <c r="E1334" s="11">
        <v>64.472999999999999</v>
      </c>
      <c r="F1334" s="10">
        <f>Table1[[#This Row],[Life expectancy at birth, total (years) '[SP.DYN.LE00.IN']]]/Table1[[#This Row],[Current health expenditure per capita (current US$) '[SH.XPD.CHEX.PC.CD']]]</f>
        <v>1.4267109375839944</v>
      </c>
      <c r="G1334" s="4">
        <f>Table1[[#This Row],[Life expectancy at birth, total (years) '[SP.DYN.LE00.IN']]]/Table1[[#This Row],[Current health expenditure per capita (current US$) '[SH.XPD.CHEX.PC.CD']]]*1000</f>
        <v>1426.7109375839943</v>
      </c>
    </row>
    <row r="1335" spans="1:7" x14ac:dyDescent="0.25">
      <c r="A1335" s="5" t="s">
        <v>346</v>
      </c>
      <c r="B1335" s="6" t="s">
        <v>350</v>
      </c>
      <c r="C1335" s="5">
        <v>2016</v>
      </c>
      <c r="D1335" s="7">
        <v>53.986465449999997</v>
      </c>
      <c r="E1335" s="11">
        <v>64.7</v>
      </c>
      <c r="F1335" s="10">
        <f>Table1[[#This Row],[Life expectancy at birth, total (years) '[SP.DYN.LE00.IN']]]/Table1[[#This Row],[Current health expenditure per capita (current US$) '[SH.XPD.CHEX.PC.CD']]]</f>
        <v>1.1984485270650369</v>
      </c>
      <c r="G1335" s="4">
        <f>Table1[[#This Row],[Life expectancy at birth, total (years) '[SP.DYN.LE00.IN']]]/Table1[[#This Row],[Current health expenditure per capita (current US$) '[SH.XPD.CHEX.PC.CD']]]*1000</f>
        <v>1198.4485270650368</v>
      </c>
    </row>
    <row r="1336" spans="1:7" x14ac:dyDescent="0.25">
      <c r="A1336" s="5" t="s">
        <v>346</v>
      </c>
      <c r="B1336" s="6" t="s">
        <v>350</v>
      </c>
      <c r="C1336" s="5">
        <v>2017</v>
      </c>
      <c r="D1336" s="7">
        <v>55.247238160000002</v>
      </c>
      <c r="E1336" s="11">
        <v>64.923000000000002</v>
      </c>
      <c r="F1336" s="10">
        <f>Table1[[#This Row],[Life expectancy at birth, total (years) '[SP.DYN.LE00.IN']]]/Table1[[#This Row],[Current health expenditure per capita (current US$) '[SH.XPD.CHEX.PC.CD']]]</f>
        <v>1.1751356658223944</v>
      </c>
      <c r="G1336" s="4">
        <f>Table1[[#This Row],[Life expectancy at birth, total (years) '[SP.DYN.LE00.IN']]]/Table1[[#This Row],[Current health expenditure per capita (current US$) '[SH.XPD.CHEX.PC.CD']]]*1000</f>
        <v>1175.1356658223945</v>
      </c>
    </row>
    <row r="1337" spans="1:7" x14ac:dyDescent="0.25">
      <c r="A1337" s="5" t="s">
        <v>346</v>
      </c>
      <c r="B1337" s="6" t="s">
        <v>350</v>
      </c>
      <c r="C1337" s="5">
        <v>2018</v>
      </c>
      <c r="D1337" s="7">
        <v>59.040035250000003</v>
      </c>
      <c r="E1337" s="11">
        <v>65.114000000000004</v>
      </c>
      <c r="F1337" s="10">
        <f>Table1[[#This Row],[Life expectancy at birth, total (years) '[SP.DYN.LE00.IN']]]/Table1[[#This Row],[Current health expenditure per capita (current US$) '[SH.XPD.CHEX.PC.CD']]]</f>
        <v>1.1028787453171447</v>
      </c>
      <c r="G1337" s="4">
        <f>Table1[[#This Row],[Life expectancy at birth, total (years) '[SP.DYN.LE00.IN']]]/Table1[[#This Row],[Current health expenditure per capita (current US$) '[SH.XPD.CHEX.PC.CD']]]*1000</f>
        <v>1102.8787453171446</v>
      </c>
    </row>
    <row r="1338" spans="1:7" x14ac:dyDescent="0.25">
      <c r="A1338" s="5" t="s">
        <v>346</v>
      </c>
      <c r="B1338" s="6" t="s">
        <v>350</v>
      </c>
      <c r="C1338" s="5">
        <v>2019</v>
      </c>
      <c r="D1338" s="7">
        <v>59.895668030000003</v>
      </c>
      <c r="E1338" s="11">
        <v>65.331000000000003</v>
      </c>
      <c r="F1338" s="10">
        <f>Table1[[#This Row],[Life expectancy at birth, total (years) '[SP.DYN.LE00.IN']]]/Table1[[#This Row],[Current health expenditure per capita (current US$) '[SH.XPD.CHEX.PC.CD']]]</f>
        <v>1.0907466624677697</v>
      </c>
      <c r="G1338" s="4">
        <f>Table1[[#This Row],[Life expectancy at birth, total (years) '[SP.DYN.LE00.IN']]]/Table1[[#This Row],[Current health expenditure per capita (current US$) '[SH.XPD.CHEX.PC.CD']]]*1000</f>
        <v>1090.7466624677697</v>
      </c>
    </row>
    <row r="1339" spans="1:7" x14ac:dyDescent="0.25">
      <c r="A1339" s="5" t="s">
        <v>346</v>
      </c>
      <c r="B1339" s="6" t="s">
        <v>350</v>
      </c>
      <c r="C1339" s="5">
        <v>2020</v>
      </c>
      <c r="D1339" s="7">
        <v>55.928176880000002</v>
      </c>
      <c r="E1339" s="11">
        <v>65.075000000000003</v>
      </c>
      <c r="F1339" s="10">
        <f>Table1[[#This Row],[Life expectancy at birth, total (years) '[SP.DYN.LE00.IN']]]/Table1[[#This Row],[Current health expenditure per capita (current US$) '[SH.XPD.CHEX.PC.CD']]]</f>
        <v>1.1635458838507378</v>
      </c>
      <c r="G1339" s="4">
        <f>Table1[[#This Row],[Life expectancy at birth, total (years) '[SP.DYN.LE00.IN']]]/Table1[[#This Row],[Current health expenditure per capita (current US$) '[SH.XPD.CHEX.PC.CD']]]*1000</f>
        <v>1163.5458838507377</v>
      </c>
    </row>
    <row r="1340" spans="1:7" x14ac:dyDescent="0.25">
      <c r="A1340" s="5" t="s">
        <v>346</v>
      </c>
      <c r="B1340" s="6" t="s">
        <v>350</v>
      </c>
      <c r="C1340" s="5">
        <v>2021</v>
      </c>
      <c r="D1340" s="7">
        <v>61.025299070000003</v>
      </c>
      <c r="E1340" s="11">
        <v>64.358000000000004</v>
      </c>
      <c r="F1340" s="10">
        <f>Table1[[#This Row],[Life expectancy at birth, total (years) '[SP.DYN.LE00.IN']]]/Table1[[#This Row],[Current health expenditure per capita (current US$) '[SH.XPD.CHEX.PC.CD']]]</f>
        <v>1.05461179184353</v>
      </c>
      <c r="G1340" s="4">
        <f>Table1[[#This Row],[Life expectancy at birth, total (years) '[SP.DYN.LE00.IN']]]/Table1[[#This Row],[Current health expenditure per capita (current US$) '[SH.XPD.CHEX.PC.CD']]]*1000</f>
        <v>1054.61179184353</v>
      </c>
    </row>
    <row r="1341" spans="1:7" x14ac:dyDescent="0.25">
      <c r="A1341" s="5" t="s">
        <v>346</v>
      </c>
      <c r="B1341" s="6" t="s">
        <v>350</v>
      </c>
      <c r="C1341" s="5">
        <v>2022</v>
      </c>
      <c r="D1341" s="7">
        <v>81.113563540000001</v>
      </c>
      <c r="E1341" s="11">
        <v>65.274000000000001</v>
      </c>
      <c r="F1341" s="10">
        <f>Table1[[#This Row],[Life expectancy at birth, total (years) '[SP.DYN.LE00.IN']]]/Table1[[#This Row],[Current health expenditure per capita (current US$) '[SH.XPD.CHEX.PC.CD']]]</f>
        <v>0.80472361404527681</v>
      </c>
      <c r="G1341" s="4">
        <f>Table1[[#This Row],[Life expectancy at birth, total (years) '[SP.DYN.LE00.IN']]]/Table1[[#This Row],[Current health expenditure per capita (current US$) '[SH.XPD.CHEX.PC.CD']]]*1000</f>
        <v>804.7236140452768</v>
      </c>
    </row>
    <row r="1342" spans="1:7" x14ac:dyDescent="0.25">
      <c r="A1342" s="5" t="s">
        <v>346</v>
      </c>
      <c r="B1342" s="6" t="s">
        <v>350</v>
      </c>
      <c r="C1342" s="5">
        <v>2023</v>
      </c>
      <c r="D1342" s="7">
        <v>85.150215149999994</v>
      </c>
      <c r="E1342" s="11">
        <v>66.134</v>
      </c>
      <c r="F1342" s="10">
        <f>Table1[[#This Row],[Life expectancy at birth, total (years) '[SP.DYN.LE00.IN']]]/Table1[[#This Row],[Current health expenditure per capita (current US$) '[SH.XPD.CHEX.PC.CD']]]</f>
        <v>0.77667449088060236</v>
      </c>
      <c r="G1342" s="4">
        <f>Table1[[#This Row],[Life expectancy at birth, total (years) '[SP.DYN.LE00.IN']]]/Table1[[#This Row],[Current health expenditure per capita (current US$) '[SH.XPD.CHEX.PC.CD']]]*1000</f>
        <v>776.67449088060232</v>
      </c>
    </row>
    <row r="1343" spans="1:7" hidden="1" x14ac:dyDescent="0.25">
      <c r="B1343" s="1"/>
      <c r="D1343" s="3"/>
      <c r="E1343"/>
      <c r="F1343" t="e">
        <f>Table1[[#This Row],[Life expectancy at birth, total (years) '[SP.DYN.LE00.IN']]]/Table1[[#This Row],[Current health expenditure per capita (current US$) '[SH.XPD.CHEX.PC.CD']]]</f>
        <v>#DIV/0!</v>
      </c>
      <c r="G1343" s="2" t="e">
        <f>Table1[[#This Row],[Life expectancy at birth, total (years) '[SP.DYN.LE00.IN']]]/Table1[[#This Row],[Current health expenditure per capita (current US$) '[SH.XPD.CHEX.PC.CD']]]*1000</f>
        <v>#DIV/0!</v>
      </c>
    </row>
    <row r="1344" spans="1:7" x14ac:dyDescent="0.25">
      <c r="A1344" s="5" t="s">
        <v>113</v>
      </c>
      <c r="B1344" s="6" t="s">
        <v>351</v>
      </c>
      <c r="C1344" s="5">
        <v>2015</v>
      </c>
      <c r="D1344" s="7">
        <v>393.42440796</v>
      </c>
      <c r="E1344" s="11">
        <v>73.453999999999994</v>
      </c>
      <c r="F1344" s="10">
        <f>Table1[[#This Row],[Life expectancy at birth, total (years) '[SP.DYN.LE00.IN']]]/Table1[[#This Row],[Current health expenditure per capita (current US$) '[SH.XPD.CHEX.PC.CD']]]</f>
        <v>0.18670422707344625</v>
      </c>
      <c r="G1344" s="4">
        <f>Table1[[#This Row],[Life expectancy at birth, total (years) '[SP.DYN.LE00.IN']]]/Table1[[#This Row],[Current health expenditure per capita (current US$) '[SH.XPD.CHEX.PC.CD']]]*1000</f>
        <v>186.70422707344625</v>
      </c>
    </row>
    <row r="1345" spans="1:7" x14ac:dyDescent="0.25">
      <c r="A1345" s="5" t="s">
        <v>113</v>
      </c>
      <c r="B1345" s="6" t="s">
        <v>351</v>
      </c>
      <c r="C1345" s="5">
        <v>2016</v>
      </c>
      <c r="D1345" s="7">
        <v>385.52297973999998</v>
      </c>
      <c r="E1345" s="11">
        <v>73.486999999999995</v>
      </c>
      <c r="F1345" s="10">
        <f>Table1[[#This Row],[Life expectancy at birth, total (years) '[SP.DYN.LE00.IN']]]/Table1[[#This Row],[Current health expenditure per capita (current US$) '[SH.XPD.CHEX.PC.CD']]]</f>
        <v>0.19061639347558545</v>
      </c>
      <c r="G1345" s="4">
        <f>Table1[[#This Row],[Life expectancy at birth, total (years) '[SP.DYN.LE00.IN']]]/Table1[[#This Row],[Current health expenditure per capita (current US$) '[SH.XPD.CHEX.PC.CD']]]*1000</f>
        <v>190.61639347558545</v>
      </c>
    </row>
    <row r="1346" spans="1:7" x14ac:dyDescent="0.25">
      <c r="A1346" s="5" t="s">
        <v>113</v>
      </c>
      <c r="B1346" s="6" t="s">
        <v>351</v>
      </c>
      <c r="C1346" s="5">
        <v>2017</v>
      </c>
      <c r="D1346" s="7">
        <v>406.60488892000001</v>
      </c>
      <c r="E1346" s="11">
        <v>73.45</v>
      </c>
      <c r="F1346" s="10">
        <f>Table1[[#This Row],[Life expectancy at birth, total (years) '[SP.DYN.LE00.IN']]]/Table1[[#This Row],[Current health expenditure per capita (current US$) '[SH.XPD.CHEX.PC.CD']]]</f>
        <v>0.18064219590446531</v>
      </c>
      <c r="G1346" s="4">
        <f>Table1[[#This Row],[Life expectancy at birth, total (years) '[SP.DYN.LE00.IN']]]/Table1[[#This Row],[Current health expenditure per capita (current US$) '[SH.XPD.CHEX.PC.CD']]]*1000</f>
        <v>180.64219590446532</v>
      </c>
    </row>
    <row r="1347" spans="1:7" x14ac:dyDescent="0.25">
      <c r="A1347" s="5" t="s">
        <v>113</v>
      </c>
      <c r="B1347" s="6" t="s">
        <v>351</v>
      </c>
      <c r="C1347" s="5">
        <v>2018</v>
      </c>
      <c r="D1347" s="7">
        <v>422.13101196000002</v>
      </c>
      <c r="E1347" s="11">
        <v>73.626999999999995</v>
      </c>
      <c r="F1347" s="10">
        <f>Table1[[#This Row],[Life expectancy at birth, total (years) '[SP.DYN.LE00.IN']]]/Table1[[#This Row],[Current health expenditure per capita (current US$) '[SH.XPD.CHEX.PC.CD']]]</f>
        <v>0.17441741524305893</v>
      </c>
      <c r="G1347" s="4">
        <f>Table1[[#This Row],[Life expectancy at birth, total (years) '[SP.DYN.LE00.IN']]]/Table1[[#This Row],[Current health expenditure per capita (current US$) '[SH.XPD.CHEX.PC.CD']]]*1000</f>
        <v>174.41741524305894</v>
      </c>
    </row>
    <row r="1348" spans="1:7" x14ac:dyDescent="0.25">
      <c r="A1348" s="5" t="s">
        <v>113</v>
      </c>
      <c r="B1348" s="6" t="s">
        <v>351</v>
      </c>
      <c r="C1348" s="5">
        <v>2019</v>
      </c>
      <c r="D1348" s="7">
        <v>416.84432982999999</v>
      </c>
      <c r="E1348" s="11">
        <v>73.668000000000006</v>
      </c>
      <c r="F1348" s="10">
        <f>Table1[[#This Row],[Life expectancy at birth, total (years) '[SP.DYN.LE00.IN']]]/Table1[[#This Row],[Current health expenditure per capita (current US$) '[SH.XPD.CHEX.PC.CD']]]</f>
        <v>0.17672784473293363</v>
      </c>
      <c r="G1348" s="4">
        <f>Table1[[#This Row],[Life expectancy at birth, total (years) '[SP.DYN.LE00.IN']]]/Table1[[#This Row],[Current health expenditure per capita (current US$) '[SH.XPD.CHEX.PC.CD']]]*1000</f>
        <v>176.72784473293362</v>
      </c>
    </row>
    <row r="1349" spans="1:7" x14ac:dyDescent="0.25">
      <c r="A1349" s="5" t="s">
        <v>113</v>
      </c>
      <c r="B1349" s="6" t="s">
        <v>351</v>
      </c>
      <c r="C1349" s="5">
        <v>2020</v>
      </c>
      <c r="D1349" s="7">
        <v>411.81765746999997</v>
      </c>
      <c r="E1349" s="11">
        <v>72.72</v>
      </c>
      <c r="F1349" s="10">
        <f>Table1[[#This Row],[Life expectancy at birth, total (years) '[SP.DYN.LE00.IN']]]/Table1[[#This Row],[Current health expenditure per capita (current US$) '[SH.XPD.CHEX.PC.CD']]]</f>
        <v>0.17658300629155876</v>
      </c>
      <c r="G1349" s="4">
        <f>Table1[[#This Row],[Life expectancy at birth, total (years) '[SP.DYN.LE00.IN']]]/Table1[[#This Row],[Current health expenditure per capita (current US$) '[SH.XPD.CHEX.PC.CD']]]*1000</f>
        <v>176.58300629155877</v>
      </c>
    </row>
    <row r="1350" spans="1:7" x14ac:dyDescent="0.25">
      <c r="A1350" s="5" t="s">
        <v>113</v>
      </c>
      <c r="B1350" s="6" t="s">
        <v>351</v>
      </c>
      <c r="C1350" s="5">
        <v>2021</v>
      </c>
      <c r="D1350" s="7">
        <v>480.11322021000001</v>
      </c>
      <c r="E1350" s="11">
        <v>68.108000000000004</v>
      </c>
      <c r="F1350" s="10">
        <f>Table1[[#This Row],[Life expectancy at birth, total (years) '[SP.DYN.LE00.IN']]]/Table1[[#This Row],[Current health expenditure per capita (current US$) '[SH.XPD.CHEX.PC.CD']]]</f>
        <v>0.14185820580031056</v>
      </c>
      <c r="G1350" s="4">
        <f>Table1[[#This Row],[Life expectancy at birth, total (years) '[SP.DYN.LE00.IN']]]/Table1[[#This Row],[Current health expenditure per capita (current US$) '[SH.XPD.CHEX.PC.CD']]]*1000</f>
        <v>141.85820580031054</v>
      </c>
    </row>
    <row r="1351" spans="1:7" x14ac:dyDescent="0.25">
      <c r="A1351" s="5" t="s">
        <v>113</v>
      </c>
      <c r="B1351" s="6" t="s">
        <v>351</v>
      </c>
      <c r="C1351" s="5">
        <v>2022</v>
      </c>
      <c r="D1351" s="7">
        <v>480.02862549000002</v>
      </c>
      <c r="E1351" s="11">
        <v>72.319000000000003</v>
      </c>
      <c r="F1351" s="10">
        <f>Table1[[#This Row],[Life expectancy at birth, total (years) '[SP.DYN.LE00.IN']]]/Table1[[#This Row],[Current health expenditure per capita (current US$) '[SH.XPD.CHEX.PC.CD']]]</f>
        <v>0.15065559877013326</v>
      </c>
      <c r="G1351" s="4">
        <f>Table1[[#This Row],[Life expectancy at birth, total (years) '[SP.DYN.LE00.IN']]]/Table1[[#This Row],[Current health expenditure per capita (current US$) '[SH.XPD.CHEX.PC.CD']]]*1000</f>
        <v>150.65559877013325</v>
      </c>
    </row>
    <row r="1352" spans="1:7" x14ac:dyDescent="0.25">
      <c r="A1352" s="5" t="s">
        <v>113</v>
      </c>
      <c r="B1352" s="6" t="s">
        <v>351</v>
      </c>
      <c r="C1352" s="5">
        <v>2023</v>
      </c>
      <c r="D1352" s="7">
        <v>526.50988770000004</v>
      </c>
      <c r="E1352" s="11">
        <v>73.843999999999994</v>
      </c>
      <c r="F1352" s="10">
        <f>Table1[[#This Row],[Life expectancy at birth, total (years) '[SP.DYN.LE00.IN']]]/Table1[[#This Row],[Current health expenditure per capita (current US$) '[SH.XPD.CHEX.PC.CD']]]</f>
        <v>0.14025187698293626</v>
      </c>
      <c r="G1352" s="4">
        <f>Table1[[#This Row],[Life expectancy at birth, total (years) '[SP.DYN.LE00.IN']]]/Table1[[#This Row],[Current health expenditure per capita (current US$) '[SH.XPD.CHEX.PC.CD']]]*1000</f>
        <v>140.25187698293627</v>
      </c>
    </row>
    <row r="1353" spans="1:7" hidden="1" x14ac:dyDescent="0.25">
      <c r="B1353" s="1"/>
      <c r="D1353" s="3"/>
      <c r="E1353"/>
      <c r="F1353" t="e">
        <f>Table1[[#This Row],[Life expectancy at birth, total (years) '[SP.DYN.LE00.IN']]]/Table1[[#This Row],[Current health expenditure per capita (current US$) '[SH.XPD.CHEX.PC.CD']]]</f>
        <v>#DIV/0!</v>
      </c>
      <c r="G1353" s="2" t="e">
        <f>Table1[[#This Row],[Life expectancy at birth, total (years) '[SP.DYN.LE00.IN']]]/Table1[[#This Row],[Current health expenditure per capita (current US$) '[SH.XPD.CHEX.PC.CD']]]*1000</f>
        <v>#DIV/0!</v>
      </c>
    </row>
    <row r="1354" spans="1:7" x14ac:dyDescent="0.25">
      <c r="A1354" s="5" t="s">
        <v>51</v>
      </c>
      <c r="B1354" s="6" t="s">
        <v>73</v>
      </c>
      <c r="C1354" s="5">
        <v>2015</v>
      </c>
      <c r="D1354" s="7">
        <v>310.60983276000002</v>
      </c>
      <c r="E1354" s="11">
        <v>75.731999999999999</v>
      </c>
      <c r="F1354" s="10">
        <f>Table1[[#This Row],[Life expectancy at birth, total (years) '[SP.DYN.LE00.IN']]]/Table1[[#This Row],[Current health expenditure per capita (current US$) '[SH.XPD.CHEX.PC.CD']]]</f>
        <v>0.24381713652483147</v>
      </c>
      <c r="G1354" s="4">
        <f>Table1[[#This Row],[Life expectancy at birth, total (years) '[SP.DYN.LE00.IN']]]/Table1[[#This Row],[Current health expenditure per capita (current US$) '[SH.XPD.CHEX.PC.CD']]]*1000</f>
        <v>243.81713652483148</v>
      </c>
    </row>
    <row r="1355" spans="1:7" x14ac:dyDescent="0.25">
      <c r="A1355" s="5" t="s">
        <v>51</v>
      </c>
      <c r="B1355" s="6" t="s">
        <v>73</v>
      </c>
      <c r="C1355" s="5">
        <v>2016</v>
      </c>
      <c r="D1355" s="7">
        <v>311.33517455999998</v>
      </c>
      <c r="E1355" s="11">
        <v>75.950999999999993</v>
      </c>
      <c r="F1355" s="10">
        <f>Table1[[#This Row],[Life expectancy at birth, total (years) '[SP.DYN.LE00.IN']]]/Table1[[#This Row],[Current health expenditure per capita (current US$) '[SH.XPD.CHEX.PC.CD']]]</f>
        <v>0.24395251871986229</v>
      </c>
      <c r="G1355" s="4">
        <f>Table1[[#This Row],[Life expectancy at birth, total (years) '[SP.DYN.LE00.IN']]]/Table1[[#This Row],[Current health expenditure per capita (current US$) '[SH.XPD.CHEX.PC.CD']]]*1000</f>
        <v>243.9525187198623</v>
      </c>
    </row>
    <row r="1356" spans="1:7" x14ac:dyDescent="0.25">
      <c r="A1356" s="5" t="s">
        <v>51</v>
      </c>
      <c r="B1356" s="6" t="s">
        <v>73</v>
      </c>
      <c r="C1356" s="5">
        <v>2017</v>
      </c>
      <c r="D1356" s="7">
        <v>332.54321289000001</v>
      </c>
      <c r="E1356" s="11">
        <v>75.957999999999998</v>
      </c>
      <c r="F1356" s="10">
        <f>Table1[[#This Row],[Life expectancy at birth, total (years) '[SP.DYN.LE00.IN']]]/Table1[[#This Row],[Current health expenditure per capita (current US$) '[SH.XPD.CHEX.PC.CD']]]</f>
        <v>0.22841542709556276</v>
      </c>
      <c r="G1356" s="4">
        <f>Table1[[#This Row],[Life expectancy at birth, total (years) '[SP.DYN.LE00.IN']]]/Table1[[#This Row],[Current health expenditure per capita (current US$) '[SH.XPD.CHEX.PC.CD']]]*1000</f>
        <v>228.41542709556276</v>
      </c>
    </row>
    <row r="1357" spans="1:7" x14ac:dyDescent="0.25">
      <c r="A1357" s="5" t="s">
        <v>51</v>
      </c>
      <c r="B1357" s="6" t="s">
        <v>73</v>
      </c>
      <c r="C1357" s="5">
        <v>2018</v>
      </c>
      <c r="D1357" s="7">
        <v>362.75994873000002</v>
      </c>
      <c r="E1357" s="11">
        <v>76.018000000000001</v>
      </c>
      <c r="F1357" s="10">
        <f>Table1[[#This Row],[Life expectancy at birth, total (years) '[SP.DYN.LE00.IN']]]/Table1[[#This Row],[Current health expenditure per capita (current US$) '[SH.XPD.CHEX.PC.CD']]]</f>
        <v>0.20955455602564252</v>
      </c>
      <c r="G1357" s="4">
        <f>Table1[[#This Row],[Life expectancy at birth, total (years) '[SP.DYN.LE00.IN']]]/Table1[[#This Row],[Current health expenditure per capita (current US$) '[SH.XPD.CHEX.PC.CD']]]*1000</f>
        <v>209.55455602564251</v>
      </c>
    </row>
    <row r="1358" spans="1:7" x14ac:dyDescent="0.25">
      <c r="A1358" s="5" t="s">
        <v>51</v>
      </c>
      <c r="B1358" s="6" t="s">
        <v>73</v>
      </c>
      <c r="C1358" s="5">
        <v>2019</v>
      </c>
      <c r="D1358" s="7">
        <v>367.98739624000001</v>
      </c>
      <c r="E1358" s="11">
        <v>76.275000000000006</v>
      </c>
      <c r="F1358" s="10">
        <f>Table1[[#This Row],[Life expectancy at birth, total (years) '[SP.DYN.LE00.IN']]]/Table1[[#This Row],[Current health expenditure per capita (current US$) '[SH.XPD.CHEX.PC.CD']]]</f>
        <v>0.20727612081108815</v>
      </c>
      <c r="G1358" s="4">
        <f>Table1[[#This Row],[Life expectancy at birth, total (years) '[SP.DYN.LE00.IN']]]/Table1[[#This Row],[Current health expenditure per capita (current US$) '[SH.XPD.CHEX.PC.CD']]]*1000</f>
        <v>207.27612081108816</v>
      </c>
    </row>
    <row r="1359" spans="1:7" x14ac:dyDescent="0.25">
      <c r="A1359" s="5" t="s">
        <v>51</v>
      </c>
      <c r="B1359" s="6" t="s">
        <v>73</v>
      </c>
      <c r="C1359" s="5">
        <v>2020</v>
      </c>
      <c r="D1359" s="7">
        <v>399.13800049000002</v>
      </c>
      <c r="E1359" s="11">
        <v>73.831999999999994</v>
      </c>
      <c r="F1359" s="10">
        <f>Table1[[#This Row],[Life expectancy at birth, total (years) '[SP.DYN.LE00.IN']]]/Table1[[#This Row],[Current health expenditure per capita (current US$) '[SH.XPD.CHEX.PC.CD']]]</f>
        <v>0.18497862871828907</v>
      </c>
      <c r="G1359" s="4">
        <f>Table1[[#This Row],[Life expectancy at birth, total (years) '[SP.DYN.LE00.IN']]]/Table1[[#This Row],[Current health expenditure per capita (current US$) '[SH.XPD.CHEX.PC.CD']]]*1000</f>
        <v>184.97862871828909</v>
      </c>
    </row>
    <row r="1360" spans="1:7" x14ac:dyDescent="0.25">
      <c r="A1360" s="5" t="s">
        <v>51</v>
      </c>
      <c r="B1360" s="6" t="s">
        <v>73</v>
      </c>
      <c r="C1360" s="5">
        <v>2021</v>
      </c>
      <c r="D1360" s="7">
        <v>455.35607909999999</v>
      </c>
      <c r="E1360" s="11">
        <v>71.596000000000004</v>
      </c>
      <c r="F1360" s="10">
        <f>Table1[[#This Row],[Life expectancy at birth, total (years) '[SP.DYN.LE00.IN']]]/Table1[[#This Row],[Current health expenditure per capita (current US$) '[SH.XPD.CHEX.PC.CD']]]</f>
        <v>0.15723079867849293</v>
      </c>
      <c r="G1360" s="4">
        <f>Table1[[#This Row],[Life expectancy at birth, total (years) '[SP.DYN.LE00.IN']]]/Table1[[#This Row],[Current health expenditure per capita (current US$) '[SH.XPD.CHEX.PC.CD']]]*1000</f>
        <v>157.23079867849293</v>
      </c>
    </row>
    <row r="1361" spans="1:7" x14ac:dyDescent="0.25">
      <c r="A1361" s="5" t="s">
        <v>51</v>
      </c>
      <c r="B1361" s="6" t="s">
        <v>73</v>
      </c>
      <c r="C1361" s="5">
        <v>2022</v>
      </c>
      <c r="D1361" s="7">
        <v>445.10473632999998</v>
      </c>
      <c r="E1361" s="11">
        <v>76.834000000000003</v>
      </c>
      <c r="F1361" s="10">
        <f>Table1[[#This Row],[Life expectancy at birth, total (years) '[SP.DYN.LE00.IN']]]/Table1[[#This Row],[Current health expenditure per capita (current US$) '[SH.XPD.CHEX.PC.CD']]]</f>
        <v>0.17262004586497007</v>
      </c>
      <c r="G1361" s="4">
        <f>Table1[[#This Row],[Life expectancy at birth, total (years) '[SP.DYN.LE00.IN']]]/Table1[[#This Row],[Current health expenditure per capita (current US$) '[SH.XPD.CHEX.PC.CD']]]*1000</f>
        <v>172.62004586497008</v>
      </c>
    </row>
    <row r="1362" spans="1:7" x14ac:dyDescent="0.25">
      <c r="A1362" s="5" t="s">
        <v>51</v>
      </c>
      <c r="B1362" s="6" t="s">
        <v>73</v>
      </c>
      <c r="C1362" s="5">
        <v>2023</v>
      </c>
      <c r="D1362" s="7">
        <v>445.52667236000002</v>
      </c>
      <c r="E1362" s="11">
        <v>77.739999999999995</v>
      </c>
      <c r="F1362" s="10">
        <f>Table1[[#This Row],[Life expectancy at birth, total (years) '[SP.DYN.LE00.IN']]]/Table1[[#This Row],[Current health expenditure per capita (current US$) '[SH.XPD.CHEX.PC.CD']]]</f>
        <v>0.17449011433637254</v>
      </c>
      <c r="G1362" s="4">
        <f>Table1[[#This Row],[Life expectancy at birth, total (years) '[SP.DYN.LE00.IN']]]/Table1[[#This Row],[Current health expenditure per capita (current US$) '[SH.XPD.CHEX.PC.CD']]]*1000</f>
        <v>174.49011433637256</v>
      </c>
    </row>
    <row r="1363" spans="1:7" hidden="1" x14ac:dyDescent="0.25">
      <c r="B1363" s="1"/>
      <c r="D1363" s="3"/>
      <c r="E1363"/>
      <c r="F1363" t="e">
        <f>Table1[[#This Row],[Life expectancy at birth, total (years) '[SP.DYN.LE00.IN']]]/Table1[[#This Row],[Current health expenditure per capita (current US$) '[SH.XPD.CHEX.PC.CD']]]</f>
        <v>#DIV/0!</v>
      </c>
      <c r="G1363" s="2" t="e">
        <f>Table1[[#This Row],[Life expectancy at birth, total (years) '[SP.DYN.LE00.IN']]]/Table1[[#This Row],[Current health expenditure per capita (current US$) '[SH.XPD.CHEX.PC.CD']]]*1000</f>
        <v>#DIV/0!</v>
      </c>
    </row>
    <row r="1364" spans="1:7" x14ac:dyDescent="0.25">
      <c r="A1364" s="5" t="s">
        <v>293</v>
      </c>
      <c r="B1364" s="6" t="s">
        <v>210</v>
      </c>
      <c r="C1364" s="5">
        <v>2015</v>
      </c>
      <c r="D1364" s="7">
        <v>113.43428040000001</v>
      </c>
      <c r="E1364" s="11">
        <v>69.45</v>
      </c>
      <c r="F1364" s="10">
        <f>Table1[[#This Row],[Life expectancy at birth, total (years) '[SP.DYN.LE00.IN']]]/Table1[[#This Row],[Current health expenditure per capita (current US$) '[SH.XPD.CHEX.PC.CD']]]</f>
        <v>0.61224878189468379</v>
      </c>
      <c r="G1364" s="4">
        <f>Table1[[#This Row],[Life expectancy at birth, total (years) '[SP.DYN.LE00.IN']]]/Table1[[#This Row],[Current health expenditure per capita (current US$) '[SH.XPD.CHEX.PC.CD']]]*1000</f>
        <v>612.24878189468382</v>
      </c>
    </row>
    <row r="1365" spans="1:7" x14ac:dyDescent="0.25">
      <c r="A1365" s="5" t="s">
        <v>293</v>
      </c>
      <c r="B1365" s="6" t="s">
        <v>210</v>
      </c>
      <c r="C1365" s="5">
        <v>2016</v>
      </c>
      <c r="D1365" s="7">
        <v>118.05981445</v>
      </c>
      <c r="E1365" s="11">
        <v>69.489999999999995</v>
      </c>
      <c r="F1365" s="10">
        <f>Table1[[#This Row],[Life expectancy at birth, total (years) '[SP.DYN.LE00.IN']]]/Table1[[#This Row],[Current health expenditure per capita (current US$) '[SH.XPD.CHEX.PC.CD']]]</f>
        <v>0.58859994252684511</v>
      </c>
      <c r="G1365" s="4">
        <f>Table1[[#This Row],[Life expectancy at birth, total (years) '[SP.DYN.LE00.IN']]]/Table1[[#This Row],[Current health expenditure per capita (current US$) '[SH.XPD.CHEX.PC.CD']]]*1000</f>
        <v>588.5999425268451</v>
      </c>
    </row>
    <row r="1366" spans="1:7" x14ac:dyDescent="0.25">
      <c r="A1366" s="5" t="s">
        <v>293</v>
      </c>
      <c r="B1366" s="6" t="s">
        <v>210</v>
      </c>
      <c r="C1366" s="5">
        <v>2017</v>
      </c>
      <c r="D1366" s="7">
        <v>120.32259369000001</v>
      </c>
      <c r="E1366" s="11">
        <v>69.965999999999994</v>
      </c>
      <c r="F1366" s="10">
        <f>Table1[[#This Row],[Life expectancy at birth, total (years) '[SP.DYN.LE00.IN']]]/Table1[[#This Row],[Current health expenditure per capita (current US$) '[SH.XPD.CHEX.PC.CD']]]</f>
        <v>0.58148680022856636</v>
      </c>
      <c r="G1366" s="4">
        <f>Table1[[#This Row],[Life expectancy at birth, total (years) '[SP.DYN.LE00.IN']]]/Table1[[#This Row],[Current health expenditure per capita (current US$) '[SH.XPD.CHEX.PC.CD']]]*1000</f>
        <v>581.48680022856638</v>
      </c>
    </row>
    <row r="1367" spans="1:7" x14ac:dyDescent="0.25">
      <c r="A1367" s="5" t="s">
        <v>293</v>
      </c>
      <c r="B1367" s="6" t="s">
        <v>210</v>
      </c>
      <c r="C1367" s="5">
        <v>2018</v>
      </c>
      <c r="D1367" s="7">
        <v>125.27716827</v>
      </c>
      <c r="E1367" s="11">
        <v>69.760999999999996</v>
      </c>
      <c r="F1367" s="10">
        <f>Table1[[#This Row],[Life expectancy at birth, total (years) '[SP.DYN.LE00.IN']]]/Table1[[#This Row],[Current health expenditure per capita (current US$) '[SH.XPD.CHEX.PC.CD']]]</f>
        <v>0.55685326355437414</v>
      </c>
      <c r="G1367" s="4">
        <f>Table1[[#This Row],[Life expectancy at birth, total (years) '[SP.DYN.LE00.IN']]]/Table1[[#This Row],[Current health expenditure per capita (current US$) '[SH.XPD.CHEX.PC.CD']]]*1000</f>
        <v>556.85326355437417</v>
      </c>
    </row>
    <row r="1368" spans="1:7" x14ac:dyDescent="0.25">
      <c r="A1368" s="5" t="s">
        <v>293</v>
      </c>
      <c r="B1368" s="6" t="s">
        <v>210</v>
      </c>
      <c r="C1368" s="5">
        <v>2019</v>
      </c>
      <c r="D1368" s="7">
        <v>141.6925354</v>
      </c>
      <c r="E1368" s="11">
        <v>69.680000000000007</v>
      </c>
      <c r="F1368" s="10">
        <f>Table1[[#This Row],[Life expectancy at birth, total (years) '[SP.DYN.LE00.IN']]]/Table1[[#This Row],[Current health expenditure per capita (current US$) '[SH.XPD.CHEX.PC.CD']]]</f>
        <v>0.49176902511690118</v>
      </c>
      <c r="G1368" s="4">
        <f>Table1[[#This Row],[Life expectancy at birth, total (years) '[SP.DYN.LE00.IN']]]/Table1[[#This Row],[Current health expenditure per capita (current US$) '[SH.XPD.CHEX.PC.CD']]]*1000</f>
        <v>491.76902511690116</v>
      </c>
    </row>
    <row r="1369" spans="1:7" x14ac:dyDescent="0.25">
      <c r="A1369" s="5" t="s">
        <v>293</v>
      </c>
      <c r="B1369" s="6" t="s">
        <v>210</v>
      </c>
      <c r="C1369" s="5">
        <v>2020</v>
      </c>
      <c r="D1369" s="7">
        <v>166.61218262</v>
      </c>
      <c r="E1369" s="11">
        <v>70.096999999999994</v>
      </c>
      <c r="F1369" s="10">
        <f>Table1[[#This Row],[Life expectancy at birth, total (years) '[SP.DYN.LE00.IN']]]/Table1[[#This Row],[Current health expenditure per capita (current US$) '[SH.XPD.CHEX.PC.CD']]]</f>
        <v>0.42071953501667653</v>
      </c>
      <c r="G1369" s="4">
        <f>Table1[[#This Row],[Life expectancy at birth, total (years) '[SP.DYN.LE00.IN']]]/Table1[[#This Row],[Current health expenditure per capita (current US$) '[SH.XPD.CHEX.PC.CD']]]*1000</f>
        <v>420.7195350166765</v>
      </c>
    </row>
    <row r="1370" spans="1:7" x14ac:dyDescent="0.25">
      <c r="A1370" s="5" t="s">
        <v>293</v>
      </c>
      <c r="B1370" s="6" t="s">
        <v>210</v>
      </c>
      <c r="C1370" s="5">
        <v>2021</v>
      </c>
      <c r="D1370" s="7">
        <v>208.19227599999999</v>
      </c>
      <c r="E1370" s="11">
        <v>66.674999999999997</v>
      </c>
      <c r="F1370" s="10">
        <f>Table1[[#This Row],[Life expectancy at birth, total (years) '[SP.DYN.LE00.IN']]]/Table1[[#This Row],[Current health expenditure per capita (current US$) '[SH.XPD.CHEX.PC.CD']]]</f>
        <v>0.32025683796261489</v>
      </c>
      <c r="G1370" s="4">
        <f>Table1[[#This Row],[Life expectancy at birth, total (years) '[SP.DYN.LE00.IN']]]/Table1[[#This Row],[Current health expenditure per capita (current US$) '[SH.XPD.CHEX.PC.CD']]]*1000</f>
        <v>320.2568379626149</v>
      </c>
    </row>
    <row r="1371" spans="1:7" x14ac:dyDescent="0.25">
      <c r="A1371" s="5" t="s">
        <v>293</v>
      </c>
      <c r="B1371" s="6" t="s">
        <v>210</v>
      </c>
      <c r="C1371" s="5">
        <v>2022</v>
      </c>
      <c r="D1371" s="7">
        <v>182.93432616999999</v>
      </c>
      <c r="E1371" s="11">
        <v>69.471999999999994</v>
      </c>
      <c r="F1371" s="10">
        <f>Table1[[#This Row],[Life expectancy at birth, total (years) '[SP.DYN.LE00.IN']]]/Table1[[#This Row],[Current health expenditure per capita (current US$) '[SH.XPD.CHEX.PC.CD']]]</f>
        <v>0.37976470274605545</v>
      </c>
      <c r="G1371" s="4">
        <f>Table1[[#This Row],[Life expectancy at birth, total (years) '[SP.DYN.LE00.IN']]]/Table1[[#This Row],[Current health expenditure per capita (current US$) '[SH.XPD.CHEX.PC.CD']]]*1000</f>
        <v>379.76470274605543</v>
      </c>
    </row>
    <row r="1372" spans="1:7" x14ac:dyDescent="0.25">
      <c r="A1372" s="5" t="s">
        <v>293</v>
      </c>
      <c r="B1372" s="6" t="s">
        <v>210</v>
      </c>
      <c r="C1372" s="5">
        <v>2023</v>
      </c>
      <c r="D1372" s="7">
        <v>194.05484009</v>
      </c>
      <c r="E1372" s="11">
        <v>69.832999999999998</v>
      </c>
      <c r="F1372" s="10">
        <f>Table1[[#This Row],[Life expectancy at birth, total (years) '[SP.DYN.LE00.IN']]]/Table1[[#This Row],[Current health expenditure per capita (current US$) '[SH.XPD.CHEX.PC.CD']]]</f>
        <v>0.35986219136617464</v>
      </c>
      <c r="G1372" s="4">
        <f>Table1[[#This Row],[Life expectancy at birth, total (years) '[SP.DYN.LE00.IN']]]/Table1[[#This Row],[Current health expenditure per capita (current US$) '[SH.XPD.CHEX.PC.CD']]]*1000</f>
        <v>359.86219136617467</v>
      </c>
    </row>
    <row r="1373" spans="1:7" hidden="1" x14ac:dyDescent="0.25">
      <c r="B1373" s="1"/>
      <c r="D1373" s="3"/>
      <c r="E1373"/>
      <c r="F1373" t="e">
        <f>Table1[[#This Row],[Life expectancy at birth, total (years) '[SP.DYN.LE00.IN']]]/Table1[[#This Row],[Current health expenditure per capita (current US$) '[SH.XPD.CHEX.PC.CD']]]</f>
        <v>#DIV/0!</v>
      </c>
      <c r="G1373" s="2" t="e">
        <f>Table1[[#This Row],[Life expectancy at birth, total (years) '[SP.DYN.LE00.IN']]]/Table1[[#This Row],[Current health expenditure per capita (current US$) '[SH.XPD.CHEX.PC.CD']]]*1000</f>
        <v>#DIV/0!</v>
      </c>
    </row>
    <row r="1374" spans="1:7" x14ac:dyDescent="0.25">
      <c r="A1374" s="5" t="s">
        <v>283</v>
      </c>
      <c r="B1374" s="6" t="s">
        <v>80</v>
      </c>
      <c r="C1374" s="5">
        <v>2015</v>
      </c>
      <c r="D1374" s="7">
        <v>803.95965576000003</v>
      </c>
      <c r="E1374" s="11">
        <v>77.451219512195124</v>
      </c>
      <c r="F1374" s="10">
        <f>Table1[[#This Row],[Life expectancy at birth, total (years) '[SP.DYN.LE00.IN']]]/Table1[[#This Row],[Current health expenditure per capita (current US$) '[SH.XPD.CHEX.PC.CD']]]</f>
        <v>9.6337196720373802E-2</v>
      </c>
      <c r="G1374" s="4">
        <f>Table1[[#This Row],[Life expectancy at birth, total (years) '[SP.DYN.LE00.IN']]]/Table1[[#This Row],[Current health expenditure per capita (current US$) '[SH.XPD.CHEX.PC.CD']]]*1000</f>
        <v>96.337196720373797</v>
      </c>
    </row>
    <row r="1375" spans="1:7" x14ac:dyDescent="0.25">
      <c r="A1375" s="5" t="s">
        <v>283</v>
      </c>
      <c r="B1375" s="6" t="s">
        <v>80</v>
      </c>
      <c r="C1375" s="5">
        <v>2016</v>
      </c>
      <c r="D1375" s="7">
        <v>816.08618163999995</v>
      </c>
      <c r="E1375" s="11">
        <v>77.851219512195144</v>
      </c>
      <c r="F1375" s="10">
        <f>Table1[[#This Row],[Life expectancy at birth, total (years) '[SP.DYN.LE00.IN']]]/Table1[[#This Row],[Current health expenditure per capita (current US$) '[SH.XPD.CHEX.PC.CD']]]</f>
        <v>9.5395831057629221E-2</v>
      </c>
      <c r="G1375" s="4">
        <f>Table1[[#This Row],[Life expectancy at birth, total (years) '[SP.DYN.LE00.IN']]]/Table1[[#This Row],[Current health expenditure per capita (current US$) '[SH.XPD.CHEX.PC.CD']]]*1000</f>
        <v>95.395831057629223</v>
      </c>
    </row>
    <row r="1376" spans="1:7" x14ac:dyDescent="0.25">
      <c r="A1376" s="5" t="s">
        <v>283</v>
      </c>
      <c r="B1376" s="6" t="s">
        <v>80</v>
      </c>
      <c r="C1376" s="5">
        <v>2017</v>
      </c>
      <c r="D1376" s="7">
        <v>909.57818603999999</v>
      </c>
      <c r="E1376" s="11">
        <v>77.753658536585377</v>
      </c>
      <c r="F1376" s="10">
        <f>Table1[[#This Row],[Life expectancy at birth, total (years) '[SP.DYN.LE00.IN']]]/Table1[[#This Row],[Current health expenditure per capita (current US$) '[SH.XPD.CHEX.PC.CD']]]</f>
        <v>8.5483204995382381E-2</v>
      </c>
      <c r="G1376" s="4">
        <f>Table1[[#This Row],[Life expectancy at birth, total (years) '[SP.DYN.LE00.IN']]]/Table1[[#This Row],[Current health expenditure per capita (current US$) '[SH.XPD.CHEX.PC.CD']]]*1000</f>
        <v>85.48320499538238</v>
      </c>
    </row>
    <row r="1377" spans="1:7" x14ac:dyDescent="0.25">
      <c r="A1377" s="5" t="s">
        <v>283</v>
      </c>
      <c r="B1377" s="6" t="s">
        <v>80</v>
      </c>
      <c r="C1377" s="5">
        <v>2018</v>
      </c>
      <c r="D1377" s="7">
        <v>978.73565673999997</v>
      </c>
      <c r="E1377" s="11">
        <v>77.60243902439025</v>
      </c>
      <c r="F1377" s="10">
        <f>Table1[[#This Row],[Life expectancy at birth, total (years) '[SP.DYN.LE00.IN']]]/Table1[[#This Row],[Current health expenditure per capita (current US$) '[SH.XPD.CHEX.PC.CD']]]</f>
        <v>7.928845596866331E-2</v>
      </c>
      <c r="G1377" s="4">
        <f>Table1[[#This Row],[Life expectancy at birth, total (years) '[SP.DYN.LE00.IN']]]/Table1[[#This Row],[Current health expenditure per capita (current US$) '[SH.XPD.CHEX.PC.CD']]]*1000</f>
        <v>79.288455968663314</v>
      </c>
    </row>
    <row r="1378" spans="1:7" x14ac:dyDescent="0.25">
      <c r="A1378" s="5" t="s">
        <v>283</v>
      </c>
      <c r="B1378" s="6" t="s">
        <v>80</v>
      </c>
      <c r="C1378" s="5">
        <v>2019</v>
      </c>
      <c r="D1378" s="7">
        <v>1014.0382080099999</v>
      </c>
      <c r="E1378" s="11">
        <v>77.904878048780489</v>
      </c>
      <c r="F1378" s="10">
        <f>Table1[[#This Row],[Life expectancy at birth, total (years) '[SP.DYN.LE00.IN']]]/Table1[[#This Row],[Current health expenditure per capita (current US$) '[SH.XPD.CHEX.PC.CD']]]</f>
        <v>7.6826373437806628E-2</v>
      </c>
      <c r="G1378" s="4">
        <f>Table1[[#This Row],[Life expectancy at birth, total (years) '[SP.DYN.LE00.IN']]]/Table1[[#This Row],[Current health expenditure per capita (current US$) '[SH.XPD.CHEX.PC.CD']]]*1000</f>
        <v>76.826373437806623</v>
      </c>
    </row>
    <row r="1379" spans="1:7" x14ac:dyDescent="0.25">
      <c r="A1379" s="5" t="s">
        <v>283</v>
      </c>
      <c r="B1379" s="6" t="s">
        <v>80</v>
      </c>
      <c r="C1379" s="5">
        <v>2020</v>
      </c>
      <c r="D1379" s="7">
        <v>1025.9848632799999</v>
      </c>
      <c r="E1379" s="11">
        <v>76.400000000000006</v>
      </c>
      <c r="F1379" s="10">
        <f>Table1[[#This Row],[Life expectancy at birth, total (years) '[SP.DYN.LE00.IN']]]/Table1[[#This Row],[Current health expenditure per capita (current US$) '[SH.XPD.CHEX.PC.CD']]]</f>
        <v>7.4465036214817731E-2</v>
      </c>
      <c r="G1379" s="4">
        <f>Table1[[#This Row],[Life expectancy at birth, total (years) '[SP.DYN.LE00.IN']]]/Table1[[#This Row],[Current health expenditure per capita (current US$) '[SH.XPD.CHEX.PC.CD']]]*1000</f>
        <v>74.465036214817729</v>
      </c>
    </row>
    <row r="1380" spans="1:7" x14ac:dyDescent="0.25">
      <c r="A1380" s="5" t="s">
        <v>283</v>
      </c>
      <c r="B1380" s="6" t="s">
        <v>80</v>
      </c>
      <c r="C1380" s="5">
        <v>2021</v>
      </c>
      <c r="D1380" s="7">
        <v>1183.30236816</v>
      </c>
      <c r="E1380" s="11">
        <v>75.351219512195144</v>
      </c>
      <c r="F1380" s="10">
        <f>Table1[[#This Row],[Life expectancy at birth, total (years) '[SP.DYN.LE00.IN']]]/Table1[[#This Row],[Current health expenditure per capita (current US$) '[SH.XPD.CHEX.PC.CD']]]</f>
        <v>6.3678753241543873E-2</v>
      </c>
      <c r="G1380" s="4">
        <f>Table1[[#This Row],[Life expectancy at birth, total (years) '[SP.DYN.LE00.IN']]]/Table1[[#This Row],[Current health expenditure per capita (current US$) '[SH.XPD.CHEX.PC.CD']]]*1000</f>
        <v>63.678753241543873</v>
      </c>
    </row>
    <row r="1381" spans="1:7" x14ac:dyDescent="0.25">
      <c r="A1381" s="5" t="s">
        <v>283</v>
      </c>
      <c r="B1381" s="6" t="s">
        <v>80</v>
      </c>
      <c r="C1381" s="5">
        <v>2022</v>
      </c>
      <c r="D1381" s="7">
        <v>1219.2912597699999</v>
      </c>
      <c r="E1381" s="11">
        <v>77.156097560975624</v>
      </c>
      <c r="F1381" s="10">
        <f>Table1[[#This Row],[Life expectancy at birth, total (years) '[SP.DYN.LE00.IN']]]/Table1[[#This Row],[Current health expenditure per capita (current US$) '[SH.XPD.CHEX.PC.CD']]]</f>
        <v>6.3279464149960288E-2</v>
      </c>
      <c r="G1381" s="4">
        <f>Table1[[#This Row],[Life expectancy at birth, total (years) '[SP.DYN.LE00.IN']]]/Table1[[#This Row],[Current health expenditure per capita (current US$) '[SH.XPD.CHEX.PC.CD']]]*1000</f>
        <v>63.27946414996029</v>
      </c>
    </row>
    <row r="1382" spans="1:7" x14ac:dyDescent="0.25">
      <c r="A1382" s="5" t="s">
        <v>283</v>
      </c>
      <c r="B1382" s="6" t="s">
        <v>80</v>
      </c>
      <c r="C1382" s="5">
        <v>2023</v>
      </c>
      <c r="D1382" s="7">
        <v>1577.98168945</v>
      </c>
      <c r="E1382" s="11">
        <v>78.507317073170739</v>
      </c>
      <c r="F1382" s="10">
        <f>Table1[[#This Row],[Life expectancy at birth, total (years) '[SP.DYN.LE00.IN']]]/Table1[[#This Row],[Current health expenditure per capita (current US$) '[SH.XPD.CHEX.PC.CD']]]</f>
        <v>4.975172880525261E-2</v>
      </c>
      <c r="G1382" s="4">
        <f>Table1[[#This Row],[Life expectancy at birth, total (years) '[SP.DYN.LE00.IN']]]/Table1[[#This Row],[Current health expenditure per capita (current US$) '[SH.XPD.CHEX.PC.CD']]]*1000</f>
        <v>49.751728805252611</v>
      </c>
    </row>
    <row r="1383" spans="1:7" hidden="1" x14ac:dyDescent="0.25">
      <c r="B1383" s="1"/>
      <c r="D1383" s="3"/>
      <c r="E1383"/>
      <c r="F1383" t="e">
        <f>Table1[[#This Row],[Life expectancy at birth, total (years) '[SP.DYN.LE00.IN']]]/Table1[[#This Row],[Current health expenditure per capita (current US$) '[SH.XPD.CHEX.PC.CD']]]</f>
        <v>#DIV/0!</v>
      </c>
      <c r="G1383" s="2" t="e">
        <f>Table1[[#This Row],[Life expectancy at birth, total (years) '[SP.DYN.LE00.IN']]]/Table1[[#This Row],[Current health expenditure per capita (current US$) '[SH.XPD.CHEX.PC.CD']]]*1000</f>
        <v>#DIV/0!</v>
      </c>
    </row>
    <row r="1384" spans="1:7" x14ac:dyDescent="0.25">
      <c r="A1384" s="5" t="s">
        <v>83</v>
      </c>
      <c r="B1384" s="6" t="s">
        <v>110</v>
      </c>
      <c r="C1384" s="5">
        <v>2015</v>
      </c>
      <c r="D1384" s="7">
        <v>1787.0375976600001</v>
      </c>
      <c r="E1384" s="11">
        <v>81.124390243902454</v>
      </c>
      <c r="F1384" s="10">
        <f>Table1[[#This Row],[Life expectancy at birth, total (years) '[SP.DYN.LE00.IN']]]/Table1[[#This Row],[Current health expenditure per capita (current US$) '[SH.XPD.CHEX.PC.CD']]]</f>
        <v>4.5396017604850132E-2</v>
      </c>
      <c r="G1384" s="4">
        <f>Table1[[#This Row],[Life expectancy at birth, total (years) '[SP.DYN.LE00.IN']]]/Table1[[#This Row],[Current health expenditure per capita (current US$) '[SH.XPD.CHEX.PC.CD']]]*1000</f>
        <v>45.39601760485013</v>
      </c>
    </row>
    <row r="1385" spans="1:7" x14ac:dyDescent="0.25">
      <c r="A1385" s="5" t="s">
        <v>83</v>
      </c>
      <c r="B1385" s="6" t="s">
        <v>110</v>
      </c>
      <c r="C1385" s="5">
        <v>2016</v>
      </c>
      <c r="D1385" s="7">
        <v>1870.31848145</v>
      </c>
      <c r="E1385" s="11">
        <v>81.124390243902454</v>
      </c>
      <c r="F1385" s="10">
        <f>Table1[[#This Row],[Life expectancy at birth, total (years) '[SP.DYN.LE00.IN']]]/Table1[[#This Row],[Current health expenditure per capita (current US$) '[SH.XPD.CHEX.PC.CD']]]</f>
        <v>4.3374639692919693E-2</v>
      </c>
      <c r="G1385" s="4">
        <f>Table1[[#This Row],[Life expectancy at birth, total (years) '[SP.DYN.LE00.IN']]]/Table1[[#This Row],[Current health expenditure per capita (current US$) '[SH.XPD.CHEX.PC.CD']]]*1000</f>
        <v>43.374639692919693</v>
      </c>
    </row>
    <row r="1386" spans="1:7" x14ac:dyDescent="0.25">
      <c r="A1386" s="5" t="s">
        <v>83</v>
      </c>
      <c r="B1386" s="6" t="s">
        <v>110</v>
      </c>
      <c r="C1386" s="5">
        <v>2017</v>
      </c>
      <c r="D1386" s="7">
        <v>1991.32263184</v>
      </c>
      <c r="E1386" s="11">
        <v>81.424390243902451</v>
      </c>
      <c r="F1386" s="10">
        <f>Table1[[#This Row],[Life expectancy at birth, total (years) '[SP.DYN.LE00.IN']]]/Table1[[#This Row],[Current health expenditure per capita (current US$) '[SH.XPD.CHEX.PC.CD']]]</f>
        <v>4.088960218800184E-2</v>
      </c>
      <c r="G1386" s="4">
        <f>Table1[[#This Row],[Life expectancy at birth, total (years) '[SP.DYN.LE00.IN']]]/Table1[[#This Row],[Current health expenditure per capita (current US$) '[SH.XPD.CHEX.PC.CD']]]*1000</f>
        <v>40.889602188001838</v>
      </c>
    </row>
    <row r="1387" spans="1:7" x14ac:dyDescent="0.25">
      <c r="A1387" s="5" t="s">
        <v>83</v>
      </c>
      <c r="B1387" s="6" t="s">
        <v>110</v>
      </c>
      <c r="C1387" s="5">
        <v>2018</v>
      </c>
      <c r="D1387" s="7">
        <v>2206.7124023400002</v>
      </c>
      <c r="E1387" s="11">
        <v>81.324390243902442</v>
      </c>
      <c r="F1387" s="10">
        <f>Table1[[#This Row],[Life expectancy at birth, total (years) '[SP.DYN.LE00.IN']]]/Table1[[#This Row],[Current health expenditure per capita (current US$) '[SH.XPD.CHEX.PC.CD']]]</f>
        <v>3.6853189458520272E-2</v>
      </c>
      <c r="G1387" s="4">
        <f>Table1[[#This Row],[Life expectancy at birth, total (years) '[SP.DYN.LE00.IN']]]/Table1[[#This Row],[Current health expenditure per capita (current US$) '[SH.XPD.CHEX.PC.CD']]]*1000</f>
        <v>36.853189458520269</v>
      </c>
    </row>
    <row r="1388" spans="1:7" x14ac:dyDescent="0.25">
      <c r="A1388" s="5" t="s">
        <v>83</v>
      </c>
      <c r="B1388" s="6" t="s">
        <v>110</v>
      </c>
      <c r="C1388" s="5">
        <v>2019</v>
      </c>
      <c r="D1388" s="7">
        <v>2209.5021972700001</v>
      </c>
      <c r="E1388" s="11">
        <v>81.675609756097572</v>
      </c>
      <c r="F1388" s="10">
        <f>Table1[[#This Row],[Life expectancy at birth, total (years) '[SP.DYN.LE00.IN']]]/Table1[[#This Row],[Current health expenditure per capita (current US$) '[SH.XPD.CHEX.PC.CD']]]</f>
        <v>3.6965615991246217E-2</v>
      </c>
      <c r="G1388" s="4">
        <f>Table1[[#This Row],[Life expectancy at birth, total (years) '[SP.DYN.LE00.IN']]]/Table1[[#This Row],[Current health expenditure per capita (current US$) '[SH.XPD.CHEX.PC.CD']]]*1000</f>
        <v>36.965615991246217</v>
      </c>
    </row>
    <row r="1389" spans="1:7" x14ac:dyDescent="0.25">
      <c r="A1389" s="5" t="s">
        <v>83</v>
      </c>
      <c r="B1389" s="6" t="s">
        <v>110</v>
      </c>
      <c r="C1389" s="5">
        <v>2020</v>
      </c>
      <c r="D1389" s="7">
        <v>2328.3557128900002</v>
      </c>
      <c r="E1389" s="11">
        <v>81.329268292682926</v>
      </c>
      <c r="F1389" s="10">
        <f>Table1[[#This Row],[Life expectancy at birth, total (years) '[SP.DYN.LE00.IN']]]/Table1[[#This Row],[Current health expenditure per capita (current US$) '[SH.XPD.CHEX.PC.CD']]]</f>
        <v>3.4929915494628379E-2</v>
      </c>
      <c r="G1389" s="4">
        <f>Table1[[#This Row],[Life expectancy at birth, total (years) '[SP.DYN.LE00.IN']]]/Table1[[#This Row],[Current health expenditure per capita (current US$) '[SH.XPD.CHEX.PC.CD']]]*1000</f>
        <v>34.929915494628382</v>
      </c>
    </row>
    <row r="1390" spans="1:7" x14ac:dyDescent="0.25">
      <c r="A1390" s="5" t="s">
        <v>83</v>
      </c>
      <c r="B1390" s="6" t="s">
        <v>110</v>
      </c>
      <c r="C1390" s="5">
        <v>2021</v>
      </c>
      <c r="D1390" s="7">
        <v>2764.04296875</v>
      </c>
      <c r="E1390" s="11">
        <v>81.378048780487802</v>
      </c>
      <c r="F1390" s="10">
        <f>Table1[[#This Row],[Life expectancy at birth, total (years) '[SP.DYN.LE00.IN']]]/Table1[[#This Row],[Current health expenditure per capita (current US$) '[SH.XPD.CHEX.PC.CD']]]</f>
        <v>2.9441672832347426E-2</v>
      </c>
      <c r="G1390" s="4">
        <f>Table1[[#This Row],[Life expectancy at birth, total (years) '[SP.DYN.LE00.IN']]]/Table1[[#This Row],[Current health expenditure per capita (current US$) '[SH.XPD.CHEX.PC.CD']]]*1000</f>
        <v>29.441672832347425</v>
      </c>
    </row>
    <row r="1391" spans="1:7" x14ac:dyDescent="0.25">
      <c r="A1391" s="5" t="s">
        <v>83</v>
      </c>
      <c r="B1391" s="6" t="s">
        <v>110</v>
      </c>
      <c r="C1391" s="5">
        <v>2022</v>
      </c>
      <c r="D1391" s="7">
        <v>2600.5666503900002</v>
      </c>
      <c r="E1391" s="11">
        <v>81.631707317073193</v>
      </c>
      <c r="F1391" s="10">
        <f>Table1[[#This Row],[Life expectancy at birth, total (years) '[SP.DYN.LE00.IN']]]/Table1[[#This Row],[Current health expenditure per capita (current US$) '[SH.XPD.CHEX.PC.CD']]]</f>
        <v>3.1389969299510587E-2</v>
      </c>
      <c r="G1391" s="4">
        <f>Table1[[#This Row],[Life expectancy at birth, total (years) '[SP.DYN.LE00.IN']]]/Table1[[#This Row],[Current health expenditure per capita (current US$) '[SH.XPD.CHEX.PC.CD']]]*1000</f>
        <v>31.389969299510586</v>
      </c>
    </row>
    <row r="1392" spans="1:7" x14ac:dyDescent="0.25">
      <c r="A1392" s="5" t="s">
        <v>83</v>
      </c>
      <c r="B1392" s="6" t="s">
        <v>110</v>
      </c>
      <c r="C1392" s="5">
        <v>2023</v>
      </c>
      <c r="D1392" s="7">
        <v>2762.26293945</v>
      </c>
      <c r="E1392" s="11">
        <v>82.280487804878064</v>
      </c>
      <c r="F1392" s="10">
        <f>Table1[[#This Row],[Life expectancy at birth, total (years) '[SP.DYN.LE00.IN']]]/Table1[[#This Row],[Current health expenditure per capita (current US$) '[SH.XPD.CHEX.PC.CD']]]</f>
        <v>2.9787348130319958E-2</v>
      </c>
      <c r="G1392" s="4">
        <f>Table1[[#This Row],[Life expectancy at birth, total (years) '[SP.DYN.LE00.IN']]]/Table1[[#This Row],[Current health expenditure per capita (current US$) '[SH.XPD.CHEX.PC.CD']]]*1000</f>
        <v>29.787348130319959</v>
      </c>
    </row>
    <row r="1393" spans="1:7" hidden="1" x14ac:dyDescent="0.25">
      <c r="B1393" s="1"/>
      <c r="D1393" s="3"/>
      <c r="E1393"/>
      <c r="F1393" t="e">
        <f>Table1[[#This Row],[Life expectancy at birth, total (years) '[SP.DYN.LE00.IN']]]/Table1[[#This Row],[Current health expenditure per capita (current US$) '[SH.XPD.CHEX.PC.CD']]]</f>
        <v>#DIV/0!</v>
      </c>
      <c r="G1393" s="2" t="e">
        <f>Table1[[#This Row],[Life expectancy at birth, total (years) '[SP.DYN.LE00.IN']]]/Table1[[#This Row],[Current health expenditure per capita (current US$) '[SH.XPD.CHEX.PC.CD']]]*1000</f>
        <v>#DIV/0!</v>
      </c>
    </row>
    <row r="1394" spans="1:7" x14ac:dyDescent="0.25">
      <c r="A1394" s="5" t="s">
        <v>247</v>
      </c>
      <c r="B1394" s="6" t="s">
        <v>245</v>
      </c>
      <c r="C1394" s="5">
        <v>2015</v>
      </c>
      <c r="D1394" s="7">
        <v>2422.64453125</v>
      </c>
      <c r="E1394" s="11">
        <v>81.784999999999997</v>
      </c>
      <c r="F1394" s="10">
        <f>Table1[[#This Row],[Life expectancy at birth, total (years) '[SP.DYN.LE00.IN']]]/Table1[[#This Row],[Current health expenditure per capita (current US$) '[SH.XPD.CHEX.PC.CD']]]</f>
        <v>3.3758563811176125E-2</v>
      </c>
      <c r="G1394" s="4">
        <f>Table1[[#This Row],[Life expectancy at birth, total (years) '[SP.DYN.LE00.IN']]]/Table1[[#This Row],[Current health expenditure per capita (current US$) '[SH.XPD.CHEX.PC.CD']]]*1000</f>
        <v>33.758563811176124</v>
      </c>
    </row>
    <row r="1395" spans="1:7" x14ac:dyDescent="0.25">
      <c r="A1395" s="5" t="s">
        <v>247</v>
      </c>
      <c r="B1395" s="6" t="s">
        <v>245</v>
      </c>
      <c r="C1395" s="5">
        <v>2016</v>
      </c>
      <c r="D1395" s="7">
        <v>2072.0610351599998</v>
      </c>
      <c r="E1395" s="11">
        <v>82.147000000000006</v>
      </c>
      <c r="F1395" s="10">
        <f>Table1[[#This Row],[Life expectancy at birth, total (years) '[SP.DYN.LE00.IN']]]/Table1[[#This Row],[Current health expenditure per capita (current US$) '[SH.XPD.CHEX.PC.CD']]]</f>
        <v>3.9645067691578301E-2</v>
      </c>
      <c r="G1395" s="4">
        <f>Table1[[#This Row],[Life expectancy at birth, total (years) '[SP.DYN.LE00.IN']]]/Table1[[#This Row],[Current health expenditure per capita (current US$) '[SH.XPD.CHEX.PC.CD']]]*1000</f>
        <v>39.645067691578298</v>
      </c>
    </row>
    <row r="1396" spans="1:7" x14ac:dyDescent="0.25">
      <c r="A1396" s="5" t="s">
        <v>247</v>
      </c>
      <c r="B1396" s="6" t="s">
        <v>245</v>
      </c>
      <c r="C1396" s="5">
        <v>2017</v>
      </c>
      <c r="D1396" s="7">
        <v>1911.9536132799999</v>
      </c>
      <c r="E1396" s="11">
        <v>82.457999999999998</v>
      </c>
      <c r="F1396" s="10">
        <f>Table1[[#This Row],[Life expectancy at birth, total (years) '[SP.DYN.LE00.IN']]]/Table1[[#This Row],[Current health expenditure per capita (current US$) '[SH.XPD.CHEX.PC.CD']]]</f>
        <v>4.3127615349695343E-2</v>
      </c>
      <c r="G1396" s="4">
        <f>Table1[[#This Row],[Life expectancy at birth, total (years) '[SP.DYN.LE00.IN']]]/Table1[[#This Row],[Current health expenditure per capita (current US$) '[SH.XPD.CHEX.PC.CD']]]*1000</f>
        <v>43.12761534969534</v>
      </c>
    </row>
    <row r="1397" spans="1:7" x14ac:dyDescent="0.25">
      <c r="A1397" s="5" t="s">
        <v>247</v>
      </c>
      <c r="B1397" s="6" t="s">
        <v>245</v>
      </c>
      <c r="C1397" s="5">
        <v>2018</v>
      </c>
      <c r="D1397" s="7">
        <v>1966.5571289100001</v>
      </c>
      <c r="E1397" s="11">
        <v>82.713999999999999</v>
      </c>
      <c r="F1397" s="10">
        <f>Table1[[#This Row],[Life expectancy at birth, total (years) '[SP.DYN.LE00.IN']]]/Table1[[#This Row],[Current health expenditure per capita (current US$) '[SH.XPD.CHEX.PC.CD']]]</f>
        <v>4.2060308741625897E-2</v>
      </c>
      <c r="G1397" s="4">
        <f>Table1[[#This Row],[Life expectancy at birth, total (years) '[SP.DYN.LE00.IN']]]/Table1[[#This Row],[Current health expenditure per capita (current US$) '[SH.XPD.CHEX.PC.CD']]]*1000</f>
        <v>42.060308741625896</v>
      </c>
    </row>
    <row r="1398" spans="1:7" x14ac:dyDescent="0.25">
      <c r="A1398" s="5" t="s">
        <v>247</v>
      </c>
      <c r="B1398" s="6" t="s">
        <v>245</v>
      </c>
      <c r="C1398" s="5">
        <v>2019</v>
      </c>
      <c r="D1398" s="7">
        <v>2007.51525879</v>
      </c>
      <c r="E1398" s="11">
        <v>82.944999999999993</v>
      </c>
      <c r="F1398" s="10">
        <f>Table1[[#This Row],[Life expectancy at birth, total (years) '[SP.DYN.LE00.IN']]]/Table1[[#This Row],[Current health expenditure per capita (current US$) '[SH.XPD.CHEX.PC.CD']]]</f>
        <v>4.1317245105272009E-2</v>
      </c>
      <c r="G1398" s="4">
        <f>Table1[[#This Row],[Life expectancy at birth, total (years) '[SP.DYN.LE00.IN']]]/Table1[[#This Row],[Current health expenditure per capita (current US$) '[SH.XPD.CHEX.PC.CD']]]*1000</f>
        <v>41.317245105272008</v>
      </c>
    </row>
    <row r="1399" spans="1:7" x14ac:dyDescent="0.25">
      <c r="A1399" s="5" t="s">
        <v>247</v>
      </c>
      <c r="B1399" s="6" t="s">
        <v>245</v>
      </c>
      <c r="C1399" s="5">
        <v>2020</v>
      </c>
      <c r="D1399" s="7">
        <v>1967.15197754</v>
      </c>
      <c r="E1399" s="11">
        <v>80.409000000000006</v>
      </c>
      <c r="F1399" s="10">
        <f>Table1[[#This Row],[Life expectancy at birth, total (years) '[SP.DYN.LE00.IN']]]/Table1[[#This Row],[Current health expenditure per capita (current US$) '[SH.XPD.CHEX.PC.CD']]]</f>
        <v>4.087584534294833E-2</v>
      </c>
      <c r="G1399" s="4">
        <f>Table1[[#This Row],[Life expectancy at birth, total (years) '[SP.DYN.LE00.IN']]]/Table1[[#This Row],[Current health expenditure per capita (current US$) '[SH.XPD.CHEX.PC.CD']]]*1000</f>
        <v>40.875845342948331</v>
      </c>
    </row>
    <row r="1400" spans="1:7" x14ac:dyDescent="0.25">
      <c r="A1400" s="5" t="s">
        <v>247</v>
      </c>
      <c r="B1400" s="6" t="s">
        <v>245</v>
      </c>
      <c r="C1400" s="5">
        <v>2021</v>
      </c>
      <c r="D1400" s="7">
        <v>1847.00231934</v>
      </c>
      <c r="E1400" s="11">
        <v>81.082999999999998</v>
      </c>
      <c r="F1400" s="10">
        <f>Table1[[#This Row],[Life expectancy at birth, total (years) '[SP.DYN.LE00.IN']]]/Table1[[#This Row],[Current health expenditure per capita (current US$) '[SH.XPD.CHEX.PC.CD']]]</f>
        <v>4.3899782448012223E-2</v>
      </c>
      <c r="G1400" s="4">
        <f>Table1[[#This Row],[Life expectancy at birth, total (years) '[SP.DYN.LE00.IN']]]/Table1[[#This Row],[Current health expenditure per capita (current US$) '[SH.XPD.CHEX.PC.CD']]]*1000</f>
        <v>43.899782448012225</v>
      </c>
    </row>
    <row r="1401" spans="1:7" x14ac:dyDescent="0.25">
      <c r="A1401" s="5" t="s">
        <v>247</v>
      </c>
      <c r="B1401" s="6" t="s">
        <v>245</v>
      </c>
      <c r="C1401" s="5">
        <v>2022</v>
      </c>
      <c r="D1401" s="7">
        <v>1781.50390625</v>
      </c>
      <c r="E1401" s="11">
        <v>81.856999999999999</v>
      </c>
      <c r="F1401" s="10">
        <f>Table1[[#This Row],[Life expectancy at birth, total (years) '[SP.DYN.LE00.IN']]]/Table1[[#This Row],[Current health expenditure per capita (current US$) '[SH.XPD.CHEX.PC.CD']]]</f>
        <v>4.5948257375593389E-2</v>
      </c>
      <c r="G1401" s="4">
        <f>Table1[[#This Row],[Life expectancy at birth, total (years) '[SP.DYN.LE00.IN']]]/Table1[[#This Row],[Current health expenditure per capita (current US$) '[SH.XPD.CHEX.PC.CD']]]*1000</f>
        <v>45.948257375593386</v>
      </c>
    </row>
    <row r="1402" spans="1:7" x14ac:dyDescent="0.25">
      <c r="A1402" s="5" t="s">
        <v>247</v>
      </c>
      <c r="B1402" s="6" t="s">
        <v>245</v>
      </c>
      <c r="C1402" s="5">
        <v>2023</v>
      </c>
      <c r="D1402" s="7">
        <v>1804.35424805</v>
      </c>
      <c r="E1402" s="11">
        <v>82.367999999999995</v>
      </c>
      <c r="F1402" s="10">
        <f>Table1[[#This Row],[Life expectancy at birth, total (years) '[SP.DYN.LE00.IN']]]/Table1[[#This Row],[Current health expenditure per capita (current US$) '[SH.XPD.CHEX.PC.CD']]]</f>
        <v>4.5649572465615698E-2</v>
      </c>
      <c r="G1402" s="4">
        <f>Table1[[#This Row],[Life expectancy at birth, total (years) '[SP.DYN.LE00.IN']]]/Table1[[#This Row],[Current health expenditure per capita (current US$) '[SH.XPD.CHEX.PC.CD']]]*1000</f>
        <v>45.649572465615698</v>
      </c>
    </row>
    <row r="1403" spans="1:7" hidden="1" x14ac:dyDescent="0.25">
      <c r="B1403" s="1"/>
      <c r="D1403" s="3"/>
      <c r="E1403"/>
      <c r="F1403" t="e">
        <f>Table1[[#This Row],[Life expectancy at birth, total (years) '[SP.DYN.LE00.IN']]]/Table1[[#This Row],[Current health expenditure per capita (current US$) '[SH.XPD.CHEX.PC.CD']]]</f>
        <v>#DIV/0!</v>
      </c>
      <c r="G1403" s="2" t="e">
        <f>Table1[[#This Row],[Life expectancy at birth, total (years) '[SP.DYN.LE00.IN']]]/Table1[[#This Row],[Current health expenditure per capita (current US$) '[SH.XPD.CHEX.PC.CD']]]*1000</f>
        <v>#DIV/0!</v>
      </c>
    </row>
    <row r="1404" spans="1:7" x14ac:dyDescent="0.25">
      <c r="A1404" s="5" t="s">
        <v>303</v>
      </c>
      <c r="B1404" s="6" t="s">
        <v>29</v>
      </c>
      <c r="C1404" s="5">
        <v>2015</v>
      </c>
      <c r="D1404" s="7">
        <v>442.24038696000002</v>
      </c>
      <c r="E1404" s="11">
        <v>74.912195121951228</v>
      </c>
      <c r="F1404" s="10">
        <f>Table1[[#This Row],[Life expectancy at birth, total (years) '[SP.DYN.LE00.IN']]]/Table1[[#This Row],[Current health expenditure per capita (current US$) '[SH.XPD.CHEX.PC.CD']]]</f>
        <v>0.16939247823317169</v>
      </c>
      <c r="G1404" s="4">
        <f>Table1[[#This Row],[Life expectancy at birth, total (years) '[SP.DYN.LE00.IN']]]/Table1[[#This Row],[Current health expenditure per capita (current US$) '[SH.XPD.CHEX.PC.CD']]]*1000</f>
        <v>169.39247823317169</v>
      </c>
    </row>
    <row r="1405" spans="1:7" x14ac:dyDescent="0.25">
      <c r="A1405" s="5" t="s">
        <v>303</v>
      </c>
      <c r="B1405" s="6" t="s">
        <v>29</v>
      </c>
      <c r="C1405" s="5">
        <v>2016</v>
      </c>
      <c r="D1405" s="7">
        <v>476.24505614999998</v>
      </c>
      <c r="E1405" s="11">
        <v>75.209756097560984</v>
      </c>
      <c r="F1405" s="10">
        <f>Table1[[#This Row],[Life expectancy at birth, total (years) '[SP.DYN.LE00.IN']]]/Table1[[#This Row],[Current health expenditure per capita (current US$) '[SH.XPD.CHEX.PC.CD']]]</f>
        <v>0.15792238707014028</v>
      </c>
      <c r="G1405" s="4">
        <f>Table1[[#This Row],[Life expectancy at birth, total (years) '[SP.DYN.LE00.IN']]]/Table1[[#This Row],[Current health expenditure per capita (current US$) '[SH.XPD.CHEX.PC.CD']]]*1000</f>
        <v>157.92238707014027</v>
      </c>
    </row>
    <row r="1406" spans="1:7" x14ac:dyDescent="0.25">
      <c r="A1406" s="5" t="s">
        <v>303</v>
      </c>
      <c r="B1406" s="6" t="s">
        <v>29</v>
      </c>
      <c r="C1406" s="5">
        <v>2017</v>
      </c>
      <c r="D1406" s="7">
        <v>555.11309814000003</v>
      </c>
      <c r="E1406" s="11">
        <v>75.209756097560984</v>
      </c>
      <c r="F1406" s="10">
        <f>Table1[[#This Row],[Life expectancy at birth, total (years) '[SP.DYN.LE00.IN']]]/Table1[[#This Row],[Current health expenditure per capita (current US$) '[SH.XPD.CHEX.PC.CD']]]</f>
        <v>0.1354854647630617</v>
      </c>
      <c r="G1406" s="4">
        <f>Table1[[#This Row],[Life expectancy at birth, total (years) '[SP.DYN.LE00.IN']]]/Table1[[#This Row],[Current health expenditure per capita (current US$) '[SH.XPD.CHEX.PC.CD']]]*1000</f>
        <v>135.48546476306169</v>
      </c>
    </row>
    <row r="1407" spans="1:7" x14ac:dyDescent="0.25">
      <c r="A1407" s="5" t="s">
        <v>303</v>
      </c>
      <c r="B1407" s="6" t="s">
        <v>29</v>
      </c>
      <c r="C1407" s="5">
        <v>2018</v>
      </c>
      <c r="D1407" s="7">
        <v>687.15411376999998</v>
      </c>
      <c r="E1407" s="11">
        <v>75.358536585365869</v>
      </c>
      <c r="F1407" s="10">
        <f>Table1[[#This Row],[Life expectancy at birth, total (years) '[SP.DYN.LE00.IN']]]/Table1[[#This Row],[Current health expenditure per capita (current US$) '[SH.XPD.CHEX.PC.CD']]]</f>
        <v>0.10966759141107232</v>
      </c>
      <c r="G1407" s="4">
        <f>Table1[[#This Row],[Life expectancy at birth, total (years) '[SP.DYN.LE00.IN']]]/Table1[[#This Row],[Current health expenditure per capita (current US$) '[SH.XPD.CHEX.PC.CD']]]*1000</f>
        <v>109.66759141107232</v>
      </c>
    </row>
    <row r="1408" spans="1:7" x14ac:dyDescent="0.25">
      <c r="A1408" s="5" t="s">
        <v>303</v>
      </c>
      <c r="B1408" s="6" t="s">
        <v>29</v>
      </c>
      <c r="C1408" s="5">
        <v>2019</v>
      </c>
      <c r="D1408" s="7">
        <v>738.55816649999997</v>
      </c>
      <c r="E1408" s="11">
        <v>75.607317073170734</v>
      </c>
      <c r="F1408" s="10">
        <f>Table1[[#This Row],[Life expectancy at birth, total (years) '[SP.DYN.LE00.IN']]]/Table1[[#This Row],[Current health expenditure per capita (current US$) '[SH.XPD.CHEX.PC.CD']]]</f>
        <v>0.10237151317609963</v>
      </c>
      <c r="G1408" s="4">
        <f>Table1[[#This Row],[Life expectancy at birth, total (years) '[SP.DYN.LE00.IN']]]/Table1[[#This Row],[Current health expenditure per capita (current US$) '[SH.XPD.CHEX.PC.CD']]]*1000</f>
        <v>102.37151317609963</v>
      </c>
    </row>
    <row r="1409" spans="1:7" x14ac:dyDescent="0.25">
      <c r="A1409" s="5" t="s">
        <v>303</v>
      </c>
      <c r="B1409" s="6" t="s">
        <v>29</v>
      </c>
      <c r="C1409" s="5">
        <v>2020</v>
      </c>
      <c r="D1409" s="7">
        <v>809.58880614999998</v>
      </c>
      <c r="E1409" s="11">
        <v>74.253658536585391</v>
      </c>
      <c r="F1409" s="10">
        <f>Table1[[#This Row],[Life expectancy at birth, total (years) '[SP.DYN.LE00.IN']]]/Table1[[#This Row],[Current health expenditure per capita (current US$) '[SH.XPD.CHEX.PC.CD']]]</f>
        <v>9.1717743590970222E-2</v>
      </c>
      <c r="G1409" s="4">
        <f>Table1[[#This Row],[Life expectancy at birth, total (years) '[SP.DYN.LE00.IN']]]/Table1[[#This Row],[Current health expenditure per capita (current US$) '[SH.XPD.CHEX.PC.CD']]]*1000</f>
        <v>91.717743590970215</v>
      </c>
    </row>
    <row r="1410" spans="1:7" x14ac:dyDescent="0.25">
      <c r="A1410" s="5" t="s">
        <v>303</v>
      </c>
      <c r="B1410" s="6" t="s">
        <v>29</v>
      </c>
      <c r="C1410" s="5">
        <v>2021</v>
      </c>
      <c r="D1410" s="7">
        <v>963.01287841999999</v>
      </c>
      <c r="E1410" s="11">
        <v>72.809756097560978</v>
      </c>
      <c r="F1410" s="10">
        <f>Table1[[#This Row],[Life expectancy at birth, total (years) '[SP.DYN.LE00.IN']]]/Table1[[#This Row],[Current health expenditure per capita (current US$) '[SH.XPD.CHEX.PC.CD']]]</f>
        <v>7.5606212262725694E-2</v>
      </c>
      <c r="G1410" s="4">
        <f>Table1[[#This Row],[Life expectancy at birth, total (years) '[SP.DYN.LE00.IN']]]/Table1[[#This Row],[Current health expenditure per capita (current US$) '[SH.XPD.CHEX.PC.CD']]]*1000</f>
        <v>75.606212262725691</v>
      </c>
    </row>
    <row r="1411" spans="1:7" x14ac:dyDescent="0.25">
      <c r="A1411" s="5" t="s">
        <v>303</v>
      </c>
      <c r="B1411" s="6" t="s">
        <v>29</v>
      </c>
      <c r="C1411" s="5">
        <v>2022</v>
      </c>
      <c r="D1411" s="7">
        <v>902.26770020000004</v>
      </c>
      <c r="E1411" s="11">
        <v>75.153658536585368</v>
      </c>
      <c r="F1411" s="10">
        <f>Table1[[#This Row],[Life expectancy at birth, total (years) '[SP.DYN.LE00.IN']]]/Table1[[#This Row],[Current health expenditure per capita (current US$) '[SH.XPD.CHEX.PC.CD']]]</f>
        <v>8.329419142448137E-2</v>
      </c>
      <c r="G1411" s="4">
        <f>Table1[[#This Row],[Life expectancy at birth, total (years) '[SP.DYN.LE00.IN']]]/Table1[[#This Row],[Current health expenditure per capita (current US$) '[SH.XPD.CHEX.PC.CD']]]*1000</f>
        <v>83.294191424481369</v>
      </c>
    </row>
    <row r="1412" spans="1:7" x14ac:dyDescent="0.25">
      <c r="A1412" s="5" t="s">
        <v>303</v>
      </c>
      <c r="B1412" s="6" t="s">
        <v>29</v>
      </c>
      <c r="C1412" s="5">
        <v>2023</v>
      </c>
      <c r="D1412" s="7">
        <v>1050.9975585899999</v>
      </c>
      <c r="E1412" s="11">
        <v>76.607317073170748</v>
      </c>
      <c r="F1412" s="10">
        <f>Table1[[#This Row],[Life expectancy at birth, total (years) '[SP.DYN.LE00.IN']]]/Table1[[#This Row],[Current health expenditure per capita (current US$) '[SH.XPD.CHEX.PC.CD']]]</f>
        <v>7.2890099931293653E-2</v>
      </c>
      <c r="G1412" s="4">
        <f>Table1[[#This Row],[Life expectancy at birth, total (years) '[SP.DYN.LE00.IN']]]/Table1[[#This Row],[Current health expenditure per capita (current US$) '[SH.XPD.CHEX.PC.CD']]]*1000</f>
        <v>72.890099931293648</v>
      </c>
    </row>
    <row r="1413" spans="1:7" hidden="1" x14ac:dyDescent="0.25">
      <c r="B1413" s="1"/>
      <c r="D1413" s="3"/>
      <c r="E1413"/>
      <c r="F1413" t="e">
        <f>Table1[[#This Row],[Life expectancy at birth, total (years) '[SP.DYN.LE00.IN']]]/Table1[[#This Row],[Current health expenditure per capita (current US$) '[SH.XPD.CHEX.PC.CD']]]</f>
        <v>#DIV/0!</v>
      </c>
      <c r="G1413" s="2" t="e">
        <f>Table1[[#This Row],[Life expectancy at birth, total (years) '[SP.DYN.LE00.IN']]]/Table1[[#This Row],[Current health expenditure per capita (current US$) '[SH.XPD.CHEX.PC.CD']]]*1000</f>
        <v>#DIV/0!</v>
      </c>
    </row>
    <row r="1414" spans="1:7" x14ac:dyDescent="0.25">
      <c r="A1414" s="5" t="s">
        <v>8</v>
      </c>
      <c r="B1414" s="6" t="s">
        <v>15</v>
      </c>
      <c r="C1414" s="5">
        <v>2015</v>
      </c>
      <c r="D1414" s="7">
        <v>496.94955443999999</v>
      </c>
      <c r="E1414" s="11">
        <v>71.183414634146345</v>
      </c>
      <c r="F1414" s="10">
        <f>Table1[[#This Row],[Life expectancy at birth, total (years) '[SP.DYN.LE00.IN']]]/Table1[[#This Row],[Current health expenditure per capita (current US$) '[SH.XPD.CHEX.PC.CD']]]</f>
        <v>0.14324072533752677</v>
      </c>
      <c r="G1414" s="4">
        <f>Table1[[#This Row],[Life expectancy at birth, total (years) '[SP.DYN.LE00.IN']]]/Table1[[#This Row],[Current health expenditure per capita (current US$) '[SH.XPD.CHEX.PC.CD']]]*1000</f>
        <v>143.24072533752678</v>
      </c>
    </row>
    <row r="1415" spans="1:7" x14ac:dyDescent="0.25">
      <c r="A1415" s="5" t="s">
        <v>8</v>
      </c>
      <c r="B1415" s="6" t="s">
        <v>15</v>
      </c>
      <c r="C1415" s="5">
        <v>2016</v>
      </c>
      <c r="D1415" s="7">
        <v>463.29275512999999</v>
      </c>
      <c r="E1415" s="11">
        <v>71.651219512195127</v>
      </c>
      <c r="F1415" s="10">
        <f>Table1[[#This Row],[Life expectancy at birth, total (years) '[SP.DYN.LE00.IN']]]/Table1[[#This Row],[Current health expenditure per capita (current US$) '[SH.XPD.CHEX.PC.CD']]]</f>
        <v>0.15465646444674014</v>
      </c>
      <c r="G1415" s="4">
        <f>Table1[[#This Row],[Life expectancy at birth, total (years) '[SP.DYN.LE00.IN']]]/Table1[[#This Row],[Current health expenditure per capita (current US$) '[SH.XPD.CHEX.PC.CD']]]*1000</f>
        <v>154.65646444674013</v>
      </c>
    </row>
    <row r="1416" spans="1:7" x14ac:dyDescent="0.25">
      <c r="A1416" s="5" t="s">
        <v>8</v>
      </c>
      <c r="B1416" s="6" t="s">
        <v>15</v>
      </c>
      <c r="C1416" s="5">
        <v>2017</v>
      </c>
      <c r="D1416" s="7">
        <v>577.06811522999999</v>
      </c>
      <c r="E1416" s="11">
        <v>72.451463414634162</v>
      </c>
      <c r="F1416" s="10">
        <f>Table1[[#This Row],[Life expectancy at birth, total (years) '[SP.DYN.LE00.IN']]]/Table1[[#This Row],[Current health expenditure per capita (current US$) '[SH.XPD.CHEX.PC.CD']]]</f>
        <v>0.1255509731043751</v>
      </c>
      <c r="G1416" s="4">
        <f>Table1[[#This Row],[Life expectancy at birth, total (years) '[SP.DYN.LE00.IN']]]/Table1[[#This Row],[Current health expenditure per capita (current US$) '[SH.XPD.CHEX.PC.CD']]]*1000</f>
        <v>125.5509731043751</v>
      </c>
    </row>
    <row r="1417" spans="1:7" x14ac:dyDescent="0.25">
      <c r="A1417" s="5" t="s">
        <v>8</v>
      </c>
      <c r="B1417" s="6" t="s">
        <v>15</v>
      </c>
      <c r="C1417" s="5">
        <v>2018</v>
      </c>
      <c r="D1417" s="7">
        <v>606.11401366999996</v>
      </c>
      <c r="E1417" s="11">
        <v>72.662195121951214</v>
      </c>
      <c r="F1417" s="10">
        <f>Table1[[#This Row],[Life expectancy at birth, total (years) '[SP.DYN.LE00.IN']]]/Table1[[#This Row],[Current health expenditure per capita (current US$) '[SH.XPD.CHEX.PC.CD']]]</f>
        <v>0.11988205763794185</v>
      </c>
      <c r="G1417" s="4">
        <f>Table1[[#This Row],[Life expectancy at birth, total (years) '[SP.DYN.LE00.IN']]]/Table1[[#This Row],[Current health expenditure per capita (current US$) '[SH.XPD.CHEX.PC.CD']]]*1000</f>
        <v>119.88205763794186</v>
      </c>
    </row>
    <row r="1418" spans="1:7" x14ac:dyDescent="0.25">
      <c r="A1418" s="5" t="s">
        <v>8</v>
      </c>
      <c r="B1418" s="6" t="s">
        <v>15</v>
      </c>
      <c r="C1418" s="5">
        <v>2019</v>
      </c>
      <c r="D1418" s="7">
        <v>650.47058104999996</v>
      </c>
      <c r="E1418" s="11">
        <v>73.083902439024399</v>
      </c>
      <c r="F1418" s="10">
        <f>Table1[[#This Row],[Life expectancy at birth, total (years) '[SP.DYN.LE00.IN']]]/Table1[[#This Row],[Current health expenditure per capita (current US$) '[SH.XPD.CHEX.PC.CD']]]</f>
        <v>0.11235543092671647</v>
      </c>
      <c r="G1418" s="4">
        <f>Table1[[#This Row],[Life expectancy at birth, total (years) '[SP.DYN.LE00.IN']]]/Table1[[#This Row],[Current health expenditure per capita (current US$) '[SH.XPD.CHEX.PC.CD']]]*1000</f>
        <v>112.35543092671648</v>
      </c>
    </row>
    <row r="1419" spans="1:7" x14ac:dyDescent="0.25">
      <c r="A1419" s="5" t="s">
        <v>8</v>
      </c>
      <c r="B1419" s="6" t="s">
        <v>15</v>
      </c>
      <c r="C1419" s="5">
        <v>2020</v>
      </c>
      <c r="D1419" s="7">
        <v>814.94451904000005</v>
      </c>
      <c r="E1419" s="11">
        <v>71.338780487804897</v>
      </c>
      <c r="F1419" s="10">
        <f>Table1[[#This Row],[Life expectancy at birth, total (years) '[SP.DYN.LE00.IN']]]/Table1[[#This Row],[Current health expenditure per capita (current US$) '[SH.XPD.CHEX.PC.CD']]]</f>
        <v>8.7538205142899256E-2</v>
      </c>
      <c r="G1419" s="4">
        <f>Table1[[#This Row],[Life expectancy at birth, total (years) '[SP.DYN.LE00.IN']]]/Table1[[#This Row],[Current health expenditure per capita (current US$) '[SH.XPD.CHEX.PC.CD']]]*1000</f>
        <v>87.538205142899258</v>
      </c>
    </row>
    <row r="1420" spans="1:7" x14ac:dyDescent="0.25">
      <c r="A1420" s="5" t="s">
        <v>8</v>
      </c>
      <c r="B1420" s="6" t="s">
        <v>15</v>
      </c>
      <c r="C1420" s="5">
        <v>2021</v>
      </c>
      <c r="D1420" s="7">
        <v>881.74395751999998</v>
      </c>
      <c r="E1420" s="11">
        <v>69.90024390243903</v>
      </c>
      <c r="F1420" s="10">
        <f>Table1[[#This Row],[Life expectancy at birth, total (years) '[SP.DYN.LE00.IN']]]/Table1[[#This Row],[Current health expenditure per capita (current US$) '[SH.XPD.CHEX.PC.CD']]]</f>
        <v>7.9274990552859595E-2</v>
      </c>
      <c r="G1420" s="4">
        <f>Table1[[#This Row],[Life expectancy at birth, total (years) '[SP.DYN.LE00.IN']]]/Table1[[#This Row],[Current health expenditure per capita (current US$) '[SH.XPD.CHEX.PC.CD']]]*1000</f>
        <v>79.274990552859592</v>
      </c>
    </row>
    <row r="1421" spans="1:7" x14ac:dyDescent="0.25">
      <c r="A1421" s="5" t="s">
        <v>8</v>
      </c>
      <c r="B1421" s="6" t="s">
        <v>15</v>
      </c>
      <c r="C1421" s="5">
        <v>2022</v>
      </c>
      <c r="D1421" s="7">
        <v>1082.8210449200001</v>
      </c>
      <c r="E1421" s="11">
        <v>72.545609756097576</v>
      </c>
      <c r="F1421" s="10">
        <f>Table1[[#This Row],[Life expectancy at birth, total (years) '[SP.DYN.LE00.IN']]]/Table1[[#This Row],[Current health expenditure per capita (current US$) '[SH.XPD.CHEX.PC.CD']]]</f>
        <v>6.6996859819488747E-2</v>
      </c>
      <c r="G1421" s="4">
        <f>Table1[[#This Row],[Life expectancy at birth, total (years) '[SP.DYN.LE00.IN']]]/Table1[[#This Row],[Current health expenditure per capita (current US$) '[SH.XPD.CHEX.PC.CD']]]*1000</f>
        <v>66.996859819488748</v>
      </c>
    </row>
    <row r="1422" spans="1:7" x14ac:dyDescent="0.25">
      <c r="A1422" s="5" t="s">
        <v>8</v>
      </c>
      <c r="B1422" s="6" t="s">
        <v>15</v>
      </c>
      <c r="C1422" s="5">
        <v>2023</v>
      </c>
      <c r="D1422" s="7">
        <v>1003.33166504</v>
      </c>
      <c r="E1422" s="11">
        <v>73.254634146341488</v>
      </c>
      <c r="F1422" s="10">
        <f>Table1[[#This Row],[Life expectancy at birth, total (years) '[SP.DYN.LE00.IN']]]/Table1[[#This Row],[Current health expenditure per capita (current US$) '[SH.XPD.CHEX.PC.CD']]]</f>
        <v>7.3011384668519391E-2</v>
      </c>
      <c r="G1422" s="4">
        <f>Table1[[#This Row],[Life expectancy at birth, total (years) '[SP.DYN.LE00.IN']]]/Table1[[#This Row],[Current health expenditure per capita (current US$) '[SH.XPD.CHEX.PC.CD']]]*1000</f>
        <v>73.011384668519398</v>
      </c>
    </row>
    <row r="1423" spans="1:7" hidden="1" x14ac:dyDescent="0.25">
      <c r="B1423" s="1"/>
      <c r="D1423" s="3"/>
      <c r="E1423"/>
      <c r="F1423" t="e">
        <f>Table1[[#This Row],[Life expectancy at birth, total (years) '[SP.DYN.LE00.IN']]]/Table1[[#This Row],[Current health expenditure per capita (current US$) '[SH.XPD.CHEX.PC.CD']]]</f>
        <v>#DIV/0!</v>
      </c>
      <c r="G1423" s="2" t="e">
        <f>Table1[[#This Row],[Life expectancy at birth, total (years) '[SP.DYN.LE00.IN']]]/Table1[[#This Row],[Current health expenditure per capita (current US$) '[SH.XPD.CHEX.PC.CD']]]*1000</f>
        <v>#DIV/0!</v>
      </c>
    </row>
    <row r="1424" spans="1:7" x14ac:dyDescent="0.25">
      <c r="A1424" s="5" t="s">
        <v>267</v>
      </c>
      <c r="B1424" s="6" t="s">
        <v>395</v>
      </c>
      <c r="C1424" s="5">
        <v>2015</v>
      </c>
      <c r="D1424" s="7">
        <v>48.812969209999999</v>
      </c>
      <c r="E1424" s="11">
        <v>65.418999999999997</v>
      </c>
      <c r="F1424" s="10">
        <f>Table1[[#This Row],[Life expectancy at birth, total (years) '[SP.DYN.LE00.IN']]]/Table1[[#This Row],[Current health expenditure per capita (current US$) '[SH.XPD.CHEX.PC.CD']]]</f>
        <v>1.3401971045555252</v>
      </c>
      <c r="G1424" s="4">
        <f>Table1[[#This Row],[Life expectancy at birth, total (years) '[SP.DYN.LE00.IN']]]/Table1[[#This Row],[Current health expenditure per capita (current US$) '[SH.XPD.CHEX.PC.CD']]]*1000</f>
        <v>1340.1971045555251</v>
      </c>
    </row>
    <row r="1425" spans="1:7" x14ac:dyDescent="0.25">
      <c r="A1425" s="5" t="s">
        <v>267</v>
      </c>
      <c r="B1425" s="6" t="s">
        <v>395</v>
      </c>
      <c r="C1425" s="5">
        <v>2016</v>
      </c>
      <c r="D1425" s="7">
        <v>43.542121889999997</v>
      </c>
      <c r="E1425" s="11">
        <v>65.733000000000004</v>
      </c>
      <c r="F1425" s="10">
        <f>Table1[[#This Row],[Life expectancy at birth, total (years) '[SP.DYN.LE00.IN']]]/Table1[[#This Row],[Current health expenditure per capita (current US$) '[SH.XPD.CHEX.PC.CD']]]</f>
        <v>1.5096416331308011</v>
      </c>
      <c r="G1425" s="4">
        <f>Table1[[#This Row],[Life expectancy at birth, total (years) '[SP.DYN.LE00.IN']]]/Table1[[#This Row],[Current health expenditure per capita (current US$) '[SH.XPD.CHEX.PC.CD']]]*1000</f>
        <v>1509.6416331308012</v>
      </c>
    </row>
    <row r="1426" spans="1:7" x14ac:dyDescent="0.25">
      <c r="A1426" s="5" t="s">
        <v>267</v>
      </c>
      <c r="B1426" s="6" t="s">
        <v>395</v>
      </c>
      <c r="C1426" s="5">
        <v>2017</v>
      </c>
      <c r="D1426" s="7">
        <v>40.766826629999997</v>
      </c>
      <c r="E1426" s="11">
        <v>66.14</v>
      </c>
      <c r="F1426" s="10">
        <f>Table1[[#This Row],[Life expectancy at birth, total (years) '[SP.DYN.LE00.IN']]]/Table1[[#This Row],[Current health expenditure per capita (current US$) '[SH.XPD.CHEX.PC.CD']]]</f>
        <v>1.6223975586887618</v>
      </c>
      <c r="G1426" s="4">
        <f>Table1[[#This Row],[Life expectancy at birth, total (years) '[SP.DYN.LE00.IN']]]/Table1[[#This Row],[Current health expenditure per capita (current US$) '[SH.XPD.CHEX.PC.CD']]]*1000</f>
        <v>1622.3975586887618</v>
      </c>
    </row>
    <row r="1427" spans="1:7" x14ac:dyDescent="0.25">
      <c r="A1427" s="5" t="s">
        <v>267</v>
      </c>
      <c r="B1427" s="6" t="s">
        <v>395</v>
      </c>
      <c r="C1427" s="5">
        <v>2018</v>
      </c>
      <c r="D1427" s="7">
        <v>42.116748809999997</v>
      </c>
      <c r="E1427" s="11">
        <v>66.353999999999999</v>
      </c>
      <c r="F1427" s="10">
        <f>Table1[[#This Row],[Life expectancy at birth, total (years) '[SP.DYN.LE00.IN']]]/Table1[[#This Row],[Current health expenditure per capita (current US$) '[SH.XPD.CHEX.PC.CD']]]</f>
        <v>1.5754777345074942</v>
      </c>
      <c r="G1427" s="4">
        <f>Table1[[#This Row],[Life expectancy at birth, total (years) '[SP.DYN.LE00.IN']]]/Table1[[#This Row],[Current health expenditure per capita (current US$) '[SH.XPD.CHEX.PC.CD']]]*1000</f>
        <v>1575.4777345074942</v>
      </c>
    </row>
    <row r="1428" spans="1:7" x14ac:dyDescent="0.25">
      <c r="A1428" s="5" t="s">
        <v>267</v>
      </c>
      <c r="B1428" s="6" t="s">
        <v>395</v>
      </c>
      <c r="C1428" s="5">
        <v>2019</v>
      </c>
      <c r="D1428" s="7">
        <v>39.813220979999997</v>
      </c>
      <c r="E1428" s="11">
        <v>66.691000000000003</v>
      </c>
      <c r="F1428" s="10">
        <f>Table1[[#This Row],[Life expectancy at birth, total (years) '[SP.DYN.LE00.IN']]]/Table1[[#This Row],[Current health expenditure per capita (current US$) '[SH.XPD.CHEX.PC.CD']]]</f>
        <v>1.6750968235778247</v>
      </c>
      <c r="G1428" s="4">
        <f>Table1[[#This Row],[Life expectancy at birth, total (years) '[SP.DYN.LE00.IN']]]/Table1[[#This Row],[Current health expenditure per capita (current US$) '[SH.XPD.CHEX.PC.CD']]]*1000</f>
        <v>1675.0968235778248</v>
      </c>
    </row>
    <row r="1429" spans="1:7" x14ac:dyDescent="0.25">
      <c r="A1429" s="5" t="s">
        <v>267</v>
      </c>
      <c r="B1429" s="6" t="s">
        <v>395</v>
      </c>
      <c r="C1429" s="5">
        <v>2020</v>
      </c>
      <c r="D1429" s="7">
        <v>45.152664180000002</v>
      </c>
      <c r="E1429" s="11">
        <v>66.953000000000003</v>
      </c>
      <c r="F1429" s="10">
        <f>Table1[[#This Row],[Life expectancy at birth, total (years) '[SP.DYN.LE00.IN']]]/Table1[[#This Row],[Current health expenditure per capita (current US$) '[SH.XPD.CHEX.PC.CD']]]</f>
        <v>1.4828139427851585</v>
      </c>
      <c r="G1429" s="4">
        <f>Table1[[#This Row],[Life expectancy at birth, total (years) '[SP.DYN.LE00.IN']]]/Table1[[#This Row],[Current health expenditure per capita (current US$) '[SH.XPD.CHEX.PC.CD']]]*1000</f>
        <v>1482.8139427851586</v>
      </c>
    </row>
    <row r="1430" spans="1:7" x14ac:dyDescent="0.25">
      <c r="A1430" s="5" t="s">
        <v>267</v>
      </c>
      <c r="B1430" s="6" t="s">
        <v>395</v>
      </c>
      <c r="C1430" s="5">
        <v>2021</v>
      </c>
      <c r="D1430" s="7">
        <v>51.646774290000003</v>
      </c>
      <c r="E1430" s="11">
        <v>66.849999999999994</v>
      </c>
      <c r="F1430" s="10">
        <f>Table1[[#This Row],[Life expectancy at birth, total (years) '[SP.DYN.LE00.IN']]]/Table1[[#This Row],[Current health expenditure per capita (current US$) '[SH.XPD.CHEX.PC.CD']]]</f>
        <v>1.2943693177163957</v>
      </c>
      <c r="G1430" s="4">
        <f>Table1[[#This Row],[Life expectancy at birth, total (years) '[SP.DYN.LE00.IN']]]/Table1[[#This Row],[Current health expenditure per capita (current US$) '[SH.XPD.CHEX.PC.CD']]]*1000</f>
        <v>1294.3693177163957</v>
      </c>
    </row>
    <row r="1431" spans="1:7" x14ac:dyDescent="0.25">
      <c r="A1431" s="5" t="s">
        <v>267</v>
      </c>
      <c r="B1431" s="6" t="s">
        <v>395</v>
      </c>
      <c r="C1431" s="5">
        <v>2022</v>
      </c>
      <c r="D1431" s="7">
        <v>57.831020359999997</v>
      </c>
      <c r="E1431" s="11">
        <v>67.528000000000006</v>
      </c>
      <c r="F1431" s="10">
        <f>Table1[[#This Row],[Life expectancy at birth, total (years) '[SP.DYN.LE00.IN']]]/Table1[[#This Row],[Current health expenditure per capita (current US$) '[SH.XPD.CHEX.PC.CD']]]</f>
        <v>1.1676778237637171</v>
      </c>
      <c r="G1431" s="4">
        <f>Table1[[#This Row],[Life expectancy at birth, total (years) '[SP.DYN.LE00.IN']]]/Table1[[#This Row],[Current health expenditure per capita (current US$) '[SH.XPD.CHEX.PC.CD']]]*1000</f>
        <v>1167.677823763717</v>
      </c>
    </row>
    <row r="1432" spans="1:7" x14ac:dyDescent="0.25">
      <c r="A1432" s="5" t="s">
        <v>267</v>
      </c>
      <c r="B1432" s="6" t="s">
        <v>395</v>
      </c>
      <c r="C1432" s="5">
        <v>2023</v>
      </c>
      <c r="D1432" s="7">
        <v>52.656307220000002</v>
      </c>
      <c r="E1432" s="11">
        <v>67.784999999999997</v>
      </c>
      <c r="F1432" s="10">
        <f>Table1[[#This Row],[Life expectancy at birth, total (years) '[SP.DYN.LE00.IN']]]/Table1[[#This Row],[Current health expenditure per capita (current US$) '[SH.XPD.CHEX.PC.CD']]]</f>
        <v>1.2873101738181478</v>
      </c>
      <c r="G1432" s="4">
        <f>Table1[[#This Row],[Life expectancy at birth, total (years) '[SP.DYN.LE00.IN']]]/Table1[[#This Row],[Current health expenditure per capita (current US$) '[SH.XPD.CHEX.PC.CD']]]*1000</f>
        <v>1287.3101738181479</v>
      </c>
    </row>
    <row r="1433" spans="1:7" hidden="1" x14ac:dyDescent="0.25">
      <c r="B1433" s="1"/>
      <c r="D1433" s="3"/>
      <c r="E1433"/>
      <c r="F1433" t="e">
        <f>Table1[[#This Row],[Life expectancy at birth, total (years) '[SP.DYN.LE00.IN']]]/Table1[[#This Row],[Current health expenditure per capita (current US$) '[SH.XPD.CHEX.PC.CD']]]</f>
        <v>#DIV/0!</v>
      </c>
      <c r="G1433" s="2" t="e">
        <f>Table1[[#This Row],[Life expectancy at birth, total (years) '[SP.DYN.LE00.IN']]]/Table1[[#This Row],[Current health expenditure per capita (current US$) '[SH.XPD.CHEX.PC.CD']]]*1000</f>
        <v>#DIV/0!</v>
      </c>
    </row>
    <row r="1434" spans="1:7" x14ac:dyDescent="0.25">
      <c r="A1434" s="5" t="s">
        <v>341</v>
      </c>
      <c r="B1434" s="6" t="s">
        <v>274</v>
      </c>
      <c r="C1434" s="5">
        <v>2015</v>
      </c>
      <c r="D1434" s="7">
        <v>232.50479125999999</v>
      </c>
      <c r="E1434" s="11">
        <v>71.06</v>
      </c>
      <c r="F1434" s="10">
        <f>Table1[[#This Row],[Life expectancy at birth, total (years) '[SP.DYN.LE00.IN']]]/Table1[[#This Row],[Current health expenditure per capita (current US$) '[SH.XPD.CHEX.PC.CD']]]</f>
        <v>0.30562811034950543</v>
      </c>
      <c r="G1434" s="4">
        <f>Table1[[#This Row],[Life expectancy at birth, total (years) '[SP.DYN.LE00.IN']]]/Table1[[#This Row],[Current health expenditure per capita (current US$) '[SH.XPD.CHEX.PC.CD']]]*1000</f>
        <v>305.62811034950545</v>
      </c>
    </row>
    <row r="1435" spans="1:7" x14ac:dyDescent="0.25">
      <c r="A1435" s="5" t="s">
        <v>341</v>
      </c>
      <c r="B1435" s="6" t="s">
        <v>274</v>
      </c>
      <c r="C1435" s="5">
        <v>2016</v>
      </c>
      <c r="D1435" s="7">
        <v>238.35044861</v>
      </c>
      <c r="E1435" s="11">
        <v>71.003</v>
      </c>
      <c r="F1435" s="10">
        <f>Table1[[#This Row],[Life expectancy at birth, total (years) '[SP.DYN.LE00.IN']]]/Table1[[#This Row],[Current health expenditure per capita (current US$) '[SH.XPD.CHEX.PC.CD']]]</f>
        <v>0.29789329289737726</v>
      </c>
      <c r="G1435" s="4">
        <f>Table1[[#This Row],[Life expectancy at birth, total (years) '[SP.DYN.LE00.IN']]]/Table1[[#This Row],[Current health expenditure per capita (current US$) '[SH.XPD.CHEX.PC.CD']]]*1000</f>
        <v>297.89329289737725</v>
      </c>
    </row>
    <row r="1436" spans="1:7" x14ac:dyDescent="0.25">
      <c r="A1436" s="5" t="s">
        <v>341</v>
      </c>
      <c r="B1436" s="6" t="s">
        <v>274</v>
      </c>
      <c r="C1436" s="5">
        <v>2017</v>
      </c>
      <c r="D1436" s="7">
        <v>220.82336426000001</v>
      </c>
      <c r="E1436" s="11">
        <v>70.991</v>
      </c>
      <c r="F1436" s="10">
        <f>Table1[[#This Row],[Life expectancy at birth, total (years) '[SP.DYN.LE00.IN']]]/Table1[[#This Row],[Current health expenditure per capita (current US$) '[SH.XPD.CHEX.PC.CD']]]</f>
        <v>0.32148319195252534</v>
      </c>
      <c r="G1436" s="4">
        <f>Table1[[#This Row],[Life expectancy at birth, total (years) '[SP.DYN.LE00.IN']]]/Table1[[#This Row],[Current health expenditure per capita (current US$) '[SH.XPD.CHEX.PC.CD']]]*1000</f>
        <v>321.48319195252532</v>
      </c>
    </row>
    <row r="1437" spans="1:7" x14ac:dyDescent="0.25">
      <c r="A1437" s="5" t="s">
        <v>341</v>
      </c>
      <c r="B1437" s="6" t="s">
        <v>274</v>
      </c>
      <c r="C1437" s="5">
        <v>2018</v>
      </c>
      <c r="D1437" s="7">
        <v>200.40919495</v>
      </c>
      <c r="E1437" s="11">
        <v>71.052000000000007</v>
      </c>
      <c r="F1437" s="10">
        <f>Table1[[#This Row],[Life expectancy at birth, total (years) '[SP.DYN.LE00.IN']]]/Table1[[#This Row],[Current health expenditure per capita (current US$) '[SH.XPD.CHEX.PC.CD']]]</f>
        <v>0.35453463109677547</v>
      </c>
      <c r="G1437" s="4">
        <f>Table1[[#This Row],[Life expectancy at birth, total (years) '[SP.DYN.LE00.IN']]]/Table1[[#This Row],[Current health expenditure per capita (current US$) '[SH.XPD.CHEX.PC.CD']]]*1000</f>
        <v>354.53463109677546</v>
      </c>
    </row>
    <row r="1438" spans="1:7" x14ac:dyDescent="0.25">
      <c r="A1438" s="5" t="s">
        <v>341</v>
      </c>
      <c r="B1438" s="6" t="s">
        <v>274</v>
      </c>
      <c r="C1438" s="5">
        <v>2019</v>
      </c>
      <c r="D1438" s="7">
        <v>242.91064453000001</v>
      </c>
      <c r="E1438" s="11">
        <v>70.269000000000005</v>
      </c>
      <c r="F1438" s="10">
        <f>Table1[[#This Row],[Life expectancy at birth, total (years) '[SP.DYN.LE00.IN']]]/Table1[[#This Row],[Current health expenditure per capita (current US$) '[SH.XPD.CHEX.PC.CD']]]</f>
        <v>0.28927921267493745</v>
      </c>
      <c r="G1438" s="4">
        <f>Table1[[#This Row],[Life expectancy at birth, total (years) '[SP.DYN.LE00.IN']]]/Table1[[#This Row],[Current health expenditure per capita (current US$) '[SH.XPD.CHEX.PC.CD']]]*1000</f>
        <v>289.27921267493747</v>
      </c>
    </row>
    <row r="1439" spans="1:7" x14ac:dyDescent="0.25">
      <c r="A1439" s="5" t="s">
        <v>341</v>
      </c>
      <c r="B1439" s="6" t="s">
        <v>274</v>
      </c>
      <c r="C1439" s="5">
        <v>2020</v>
      </c>
      <c r="D1439" s="7">
        <v>252.77748108</v>
      </c>
      <c r="E1439" s="11">
        <v>70.727000000000004</v>
      </c>
      <c r="F1439" s="10">
        <f>Table1[[#This Row],[Life expectancy at birth, total (years) '[SP.DYN.LE00.IN']]]/Table1[[#This Row],[Current health expenditure per capita (current US$) '[SH.XPD.CHEX.PC.CD']]]</f>
        <v>0.27979944929357076</v>
      </c>
      <c r="G1439" s="4">
        <f>Table1[[#This Row],[Life expectancy at birth, total (years) '[SP.DYN.LE00.IN']]]/Table1[[#This Row],[Current health expenditure per capita (current US$) '[SH.XPD.CHEX.PC.CD']]]*1000</f>
        <v>279.79944929357077</v>
      </c>
    </row>
    <row r="1440" spans="1:7" x14ac:dyDescent="0.25">
      <c r="A1440" s="5" t="s">
        <v>341</v>
      </c>
      <c r="B1440" s="6" t="s">
        <v>274</v>
      </c>
      <c r="C1440" s="5">
        <v>2021</v>
      </c>
      <c r="D1440" s="7">
        <v>285.65393066000001</v>
      </c>
      <c r="E1440" s="11">
        <v>71.096000000000004</v>
      </c>
      <c r="F1440" s="10">
        <f>Table1[[#This Row],[Life expectancy at birth, total (years) '[SP.DYN.LE00.IN']]]/Table1[[#This Row],[Current health expenditure per capita (current US$) '[SH.XPD.CHEX.PC.CD']]]</f>
        <v>0.24888857589228175</v>
      </c>
      <c r="G1440" s="4">
        <f>Table1[[#This Row],[Life expectancy at birth, total (years) '[SP.DYN.LE00.IN']]]/Table1[[#This Row],[Current health expenditure per capita (current US$) '[SH.XPD.CHEX.PC.CD']]]*1000</f>
        <v>248.88857589228175</v>
      </c>
    </row>
    <row r="1441" spans="1:7" x14ac:dyDescent="0.25">
      <c r="A1441" s="5" t="s">
        <v>341</v>
      </c>
      <c r="B1441" s="6" t="s">
        <v>274</v>
      </c>
      <c r="C1441" s="5">
        <v>2022</v>
      </c>
      <c r="D1441" s="7">
        <v>259.95404052999999</v>
      </c>
      <c r="E1441" s="11">
        <v>71.55</v>
      </c>
      <c r="F1441" s="10">
        <f>Table1[[#This Row],[Life expectancy at birth, total (years) '[SP.DYN.LE00.IN']]]/Table1[[#This Row],[Current health expenditure per capita (current US$) '[SH.XPD.CHEX.PC.CD']]]</f>
        <v>0.27524096126423847</v>
      </c>
      <c r="G1441" s="4">
        <f>Table1[[#This Row],[Life expectancy at birth, total (years) '[SP.DYN.LE00.IN']]]/Table1[[#This Row],[Current health expenditure per capita (current US$) '[SH.XPD.CHEX.PC.CD']]]*1000</f>
        <v>275.24096126423848</v>
      </c>
    </row>
    <row r="1442" spans="1:7" x14ac:dyDescent="0.25">
      <c r="A1442" s="5" t="s">
        <v>341</v>
      </c>
      <c r="B1442" s="6" t="s">
        <v>274</v>
      </c>
      <c r="C1442" s="5">
        <v>2023</v>
      </c>
      <c r="D1442" s="7">
        <v>292.81085204999999</v>
      </c>
      <c r="E1442" s="11">
        <v>71.697999999999993</v>
      </c>
      <c r="F1442" s="10">
        <f>Table1[[#This Row],[Life expectancy at birth, total (years) '[SP.DYN.LE00.IN']]]/Table1[[#This Row],[Current health expenditure per capita (current US$) '[SH.XPD.CHEX.PC.CD']]]</f>
        <v>0.2448611432876707</v>
      </c>
      <c r="G1442" s="4">
        <f>Table1[[#This Row],[Life expectancy at birth, total (years) '[SP.DYN.LE00.IN']]]/Table1[[#This Row],[Current health expenditure per capita (current US$) '[SH.XPD.CHEX.PC.CD']]]*1000</f>
        <v>244.8611432876707</v>
      </c>
    </row>
    <row r="1443" spans="1:7" hidden="1" x14ac:dyDescent="0.25">
      <c r="B1443" s="1"/>
      <c r="D1443" s="3"/>
      <c r="E1443"/>
      <c r="F1443" t="e">
        <f>Table1[[#This Row],[Life expectancy at birth, total (years) '[SP.DYN.LE00.IN']]]/Table1[[#This Row],[Current health expenditure per capita (current US$) '[SH.XPD.CHEX.PC.CD']]]</f>
        <v>#DIV/0!</v>
      </c>
      <c r="G1443" s="2" t="e">
        <f>Table1[[#This Row],[Life expectancy at birth, total (years) '[SP.DYN.LE00.IN']]]/Table1[[#This Row],[Current health expenditure per capita (current US$) '[SH.XPD.CHEX.PC.CD']]]*1000</f>
        <v>#DIV/0!</v>
      </c>
    </row>
    <row r="1444" spans="1:7" x14ac:dyDescent="0.25">
      <c r="A1444" s="5" t="s">
        <v>131</v>
      </c>
      <c r="B1444" s="6" t="s">
        <v>313</v>
      </c>
      <c r="C1444" s="5">
        <v>2015</v>
      </c>
      <c r="D1444" s="7">
        <v>3530.0461425799999</v>
      </c>
      <c r="E1444" s="11">
        <v>84.596000000000004</v>
      </c>
      <c r="F1444" s="10">
        <f>Table1[[#This Row],[Life expectancy at birth, total (years) '[SP.DYN.LE00.IN']]]/Table1[[#This Row],[Current health expenditure per capita (current US$) '[SH.XPD.CHEX.PC.CD']]]</f>
        <v>2.3964559267254066E-2</v>
      </c>
      <c r="G1444" s="4">
        <f>Table1[[#This Row],[Life expectancy at birth, total (years) '[SP.DYN.LE00.IN']]]/Table1[[#This Row],[Current health expenditure per capita (current US$) '[SH.XPD.CHEX.PC.CD']]]*1000</f>
        <v>23.964559267254067</v>
      </c>
    </row>
    <row r="1445" spans="1:7" x14ac:dyDescent="0.25">
      <c r="A1445" s="5" t="s">
        <v>131</v>
      </c>
      <c r="B1445" s="6" t="s">
        <v>313</v>
      </c>
      <c r="C1445" s="5">
        <v>2016</v>
      </c>
      <c r="D1445" s="7">
        <v>3621.2326660200001</v>
      </c>
      <c r="E1445" s="11">
        <v>84.775000000000006</v>
      </c>
      <c r="F1445" s="10">
        <f>Table1[[#This Row],[Life expectancy at birth, total (years) '[SP.DYN.LE00.IN']]]/Table1[[#This Row],[Current health expenditure per capita (current US$) '[SH.XPD.CHEX.PC.CD']]]</f>
        <v>2.3410536637286535E-2</v>
      </c>
      <c r="G1445" s="4">
        <f>Table1[[#This Row],[Life expectancy at birth, total (years) '[SP.DYN.LE00.IN']]]/Table1[[#This Row],[Current health expenditure per capita (current US$) '[SH.XPD.CHEX.PC.CD']]]*1000</f>
        <v>23.410536637286537</v>
      </c>
    </row>
    <row r="1446" spans="1:7" x14ac:dyDescent="0.25">
      <c r="A1446" s="5" t="s">
        <v>131</v>
      </c>
      <c r="B1446" s="6" t="s">
        <v>313</v>
      </c>
      <c r="C1446" s="5">
        <v>2017</v>
      </c>
      <c r="D1446" s="7">
        <v>3672.3032226599998</v>
      </c>
      <c r="E1446" s="11">
        <v>84.933000000000007</v>
      </c>
      <c r="F1446" s="10">
        <f>Table1[[#This Row],[Life expectancy at birth, total (years) '[SP.DYN.LE00.IN']]]/Table1[[#This Row],[Current health expenditure per capita (current US$) '[SH.XPD.CHEX.PC.CD']]]</f>
        <v>2.3127992121108002E-2</v>
      </c>
      <c r="G1446" s="4">
        <f>Table1[[#This Row],[Life expectancy at birth, total (years) '[SP.DYN.LE00.IN']]]/Table1[[#This Row],[Current health expenditure per capita (current US$) '[SH.XPD.CHEX.PC.CD']]]*1000</f>
        <v>23.127992121108001</v>
      </c>
    </row>
    <row r="1447" spans="1:7" x14ac:dyDescent="0.25">
      <c r="A1447" s="5" t="s">
        <v>131</v>
      </c>
      <c r="B1447" s="6" t="s">
        <v>313</v>
      </c>
      <c r="C1447" s="5">
        <v>2018</v>
      </c>
      <c r="D1447" s="7">
        <v>3969.3647460900002</v>
      </c>
      <c r="E1447" s="11">
        <v>85.094999999999999</v>
      </c>
      <c r="F1447" s="10">
        <f>Table1[[#This Row],[Life expectancy at birth, total (years) '[SP.DYN.LE00.IN']]]/Table1[[#This Row],[Current health expenditure per capita (current US$) '[SH.XPD.CHEX.PC.CD']]]</f>
        <v>2.1437939177502481E-2</v>
      </c>
      <c r="G1447" s="4">
        <f>Table1[[#This Row],[Life expectancy at birth, total (years) '[SP.DYN.LE00.IN']]]/Table1[[#This Row],[Current health expenditure per capita (current US$) '[SH.XPD.CHEX.PC.CD']]]*1000</f>
        <v>21.437939177502482</v>
      </c>
    </row>
    <row r="1448" spans="1:7" x14ac:dyDescent="0.25">
      <c r="A1448" s="5" t="s">
        <v>131</v>
      </c>
      <c r="B1448" s="6" t="s">
        <v>313</v>
      </c>
      <c r="C1448" s="5">
        <v>2019</v>
      </c>
      <c r="D1448" s="7">
        <v>3801.2104492200001</v>
      </c>
      <c r="E1448" s="11">
        <v>85.257000000000005</v>
      </c>
      <c r="F1448" s="10">
        <f>Table1[[#This Row],[Life expectancy at birth, total (years) '[SP.DYN.LE00.IN']]]/Table1[[#This Row],[Current health expenditure per capita (current US$) '[SH.XPD.CHEX.PC.CD']]]</f>
        <v>2.2428908143587407E-2</v>
      </c>
      <c r="G1448" s="4">
        <f>Table1[[#This Row],[Life expectancy at birth, total (years) '[SP.DYN.LE00.IN']]]/Table1[[#This Row],[Current health expenditure per capita (current US$) '[SH.XPD.CHEX.PC.CD']]]*1000</f>
        <v>22.428908143587407</v>
      </c>
    </row>
    <row r="1449" spans="1:7" x14ac:dyDescent="0.25">
      <c r="A1449" s="5" t="s">
        <v>131</v>
      </c>
      <c r="B1449" s="6" t="s">
        <v>313</v>
      </c>
      <c r="C1449" s="5">
        <v>2020</v>
      </c>
      <c r="D1449" s="7">
        <v>3758.609375</v>
      </c>
      <c r="E1449" s="11">
        <v>82.65</v>
      </c>
      <c r="F1449" s="10">
        <f>Table1[[#This Row],[Life expectancy at birth, total (years) '[SP.DYN.LE00.IN']]]/Table1[[#This Row],[Current health expenditure per capita (current US$) '[SH.XPD.CHEX.PC.CD']]]</f>
        <v>2.1989515736787625E-2</v>
      </c>
      <c r="G1449" s="4">
        <f>Table1[[#This Row],[Life expectancy at birth, total (years) '[SP.DYN.LE00.IN']]]/Table1[[#This Row],[Current health expenditure per capita (current US$) '[SH.XPD.CHEX.PC.CD']]]*1000</f>
        <v>21.989515736787624</v>
      </c>
    </row>
    <row r="1450" spans="1:7" x14ac:dyDescent="0.25">
      <c r="A1450" s="5" t="s">
        <v>131</v>
      </c>
      <c r="B1450" s="6" t="s">
        <v>313</v>
      </c>
      <c r="C1450" s="5">
        <v>2021</v>
      </c>
      <c r="D1450" s="7">
        <v>4033.1027832</v>
      </c>
      <c r="E1450" s="11">
        <v>83.539000000000001</v>
      </c>
      <c r="F1450" s="10">
        <f>Table1[[#This Row],[Life expectancy at birth, total (years) '[SP.DYN.LE00.IN']]]/Table1[[#This Row],[Current health expenditure per capita (current US$) '[SH.XPD.CHEX.PC.CD']]]</f>
        <v>2.0713332759081667E-2</v>
      </c>
      <c r="G1450" s="4">
        <f>Table1[[#This Row],[Life expectancy at birth, total (years) '[SP.DYN.LE00.IN']]]/Table1[[#This Row],[Current health expenditure per capita (current US$) '[SH.XPD.CHEX.PC.CD']]]*1000</f>
        <v>20.713332759081666</v>
      </c>
    </row>
    <row r="1451" spans="1:7" x14ac:dyDescent="0.25">
      <c r="A1451" s="5" t="s">
        <v>131</v>
      </c>
      <c r="B1451" s="6" t="s">
        <v>313</v>
      </c>
      <c r="C1451" s="5">
        <v>2022</v>
      </c>
      <c r="D1451" s="7">
        <v>3874.9853515599998</v>
      </c>
      <c r="E1451" s="11">
        <v>85.707999999999998</v>
      </c>
      <c r="F1451" s="10">
        <f>Table1[[#This Row],[Life expectancy at birth, total (years) '[SP.DYN.LE00.IN']]]/Table1[[#This Row],[Current health expenditure per capita (current US$) '[SH.XPD.CHEX.PC.CD']]]</f>
        <v>2.2118277160840232E-2</v>
      </c>
      <c r="G1451" s="4">
        <f>Table1[[#This Row],[Life expectancy at birth, total (years) '[SP.DYN.LE00.IN']]]/Table1[[#This Row],[Current health expenditure per capita (current US$) '[SH.XPD.CHEX.PC.CD']]]*1000</f>
        <v>22.118277160840233</v>
      </c>
    </row>
    <row r="1452" spans="1:7" x14ac:dyDescent="0.25">
      <c r="A1452" s="5" t="s">
        <v>131</v>
      </c>
      <c r="B1452" s="6" t="s">
        <v>313</v>
      </c>
      <c r="C1452" s="5">
        <v>2023</v>
      </c>
      <c r="D1452" s="7">
        <v>3923.5234375</v>
      </c>
      <c r="E1452" s="11">
        <v>85.706000000000003</v>
      </c>
      <c r="F1452" s="10">
        <f>Table1[[#This Row],[Life expectancy at birth, total (years) '[SP.DYN.LE00.IN']]]/Table1[[#This Row],[Current health expenditure per capita (current US$) '[SH.XPD.CHEX.PC.CD']]]</f>
        <v>2.1844141207580083E-2</v>
      </c>
      <c r="G1452" s="4">
        <f>Table1[[#This Row],[Life expectancy at birth, total (years) '[SP.DYN.LE00.IN']]]/Table1[[#This Row],[Current health expenditure per capita (current US$) '[SH.XPD.CHEX.PC.CD']]]*1000</f>
        <v>21.844141207580083</v>
      </c>
    </row>
    <row r="1453" spans="1:7" hidden="1" x14ac:dyDescent="0.25">
      <c r="B1453" s="1"/>
      <c r="D1453" s="3"/>
      <c r="E1453"/>
      <c r="F1453" t="e">
        <f>Table1[[#This Row],[Life expectancy at birth, total (years) '[SP.DYN.LE00.IN']]]/Table1[[#This Row],[Current health expenditure per capita (current US$) '[SH.XPD.CHEX.PC.CD']]]</f>
        <v>#DIV/0!</v>
      </c>
      <c r="G1453" s="2" t="e">
        <f>Table1[[#This Row],[Life expectancy at birth, total (years) '[SP.DYN.LE00.IN']]]/Table1[[#This Row],[Current health expenditure per capita (current US$) '[SH.XPD.CHEX.PC.CD']]]*1000</f>
        <v>#DIV/0!</v>
      </c>
    </row>
    <row r="1454" spans="1:7" x14ac:dyDescent="0.25">
      <c r="A1454" s="5" t="s">
        <v>291</v>
      </c>
      <c r="B1454" s="6" t="s">
        <v>228</v>
      </c>
      <c r="C1454" s="5">
        <v>2015</v>
      </c>
      <c r="D1454" s="7">
        <v>85.378288269999999</v>
      </c>
      <c r="E1454" s="11">
        <v>66.022999999999996</v>
      </c>
      <c r="F1454" s="10">
        <f>Table1[[#This Row],[Life expectancy at birth, total (years) '[SP.DYN.LE00.IN']]]/Table1[[#This Row],[Current health expenditure per capita (current US$) '[SH.XPD.CHEX.PC.CD']]]</f>
        <v>0.77329964488406111</v>
      </c>
      <c r="G1454" s="4">
        <f>Table1[[#This Row],[Life expectancy at birth, total (years) '[SP.DYN.LE00.IN']]]/Table1[[#This Row],[Current health expenditure per capita (current US$) '[SH.XPD.CHEX.PC.CD']]]*1000</f>
        <v>773.29964488406108</v>
      </c>
    </row>
    <row r="1455" spans="1:7" x14ac:dyDescent="0.25">
      <c r="A1455" s="5" t="s">
        <v>291</v>
      </c>
      <c r="B1455" s="6" t="s">
        <v>228</v>
      </c>
      <c r="C1455" s="5">
        <v>2016</v>
      </c>
      <c r="D1455" s="7">
        <v>109.73142242</v>
      </c>
      <c r="E1455" s="11">
        <v>66.563000000000002</v>
      </c>
      <c r="F1455" s="10">
        <f>Table1[[#This Row],[Life expectancy at birth, total (years) '[SP.DYN.LE00.IN']]]/Table1[[#This Row],[Current health expenditure per capita (current US$) '[SH.XPD.CHEX.PC.CD']]]</f>
        <v>0.60659926329240776</v>
      </c>
      <c r="G1455" s="4">
        <f>Table1[[#This Row],[Life expectancy at birth, total (years) '[SP.DYN.LE00.IN']]]/Table1[[#This Row],[Current health expenditure per capita (current US$) '[SH.XPD.CHEX.PC.CD']]]*1000</f>
        <v>606.59926329240773</v>
      </c>
    </row>
    <row r="1456" spans="1:7" x14ac:dyDescent="0.25">
      <c r="A1456" s="5" t="s">
        <v>291</v>
      </c>
      <c r="B1456" s="6" t="s">
        <v>228</v>
      </c>
      <c r="C1456" s="5">
        <v>2017</v>
      </c>
      <c r="D1456" s="7">
        <v>117.07767487</v>
      </c>
      <c r="E1456" s="11">
        <v>67.073999999999998</v>
      </c>
      <c r="F1456" s="10">
        <f>Table1[[#This Row],[Life expectancy at birth, total (years) '[SP.DYN.LE00.IN']]]/Table1[[#This Row],[Current health expenditure per capita (current US$) '[SH.XPD.CHEX.PC.CD']]]</f>
        <v>0.57290170883968461</v>
      </c>
      <c r="G1456" s="4">
        <f>Table1[[#This Row],[Life expectancy at birth, total (years) '[SP.DYN.LE00.IN']]]/Table1[[#This Row],[Current health expenditure per capita (current US$) '[SH.XPD.CHEX.PC.CD']]]*1000</f>
        <v>572.9017088396846</v>
      </c>
    </row>
    <row r="1457" spans="1:7" x14ac:dyDescent="0.25">
      <c r="A1457" s="5" t="s">
        <v>291</v>
      </c>
      <c r="B1457" s="6" t="s">
        <v>228</v>
      </c>
      <c r="C1457" s="5">
        <v>2018</v>
      </c>
      <c r="D1457" s="7">
        <v>108.87628936999999</v>
      </c>
      <c r="E1457" s="11">
        <v>67.602000000000004</v>
      </c>
      <c r="F1457" s="10">
        <f>Table1[[#This Row],[Life expectancy at birth, total (years) '[SP.DYN.LE00.IN']]]/Table1[[#This Row],[Current health expenditure per capita (current US$) '[SH.XPD.CHEX.PC.CD']]]</f>
        <v>0.62090653889080094</v>
      </c>
      <c r="G1457" s="4">
        <f>Table1[[#This Row],[Life expectancy at birth, total (years) '[SP.DYN.LE00.IN']]]/Table1[[#This Row],[Current health expenditure per capita (current US$) '[SH.XPD.CHEX.PC.CD']]]*1000</f>
        <v>620.9065388908009</v>
      </c>
    </row>
    <row r="1458" spans="1:7" x14ac:dyDescent="0.25">
      <c r="A1458" s="5" t="s">
        <v>291</v>
      </c>
      <c r="B1458" s="6" t="s">
        <v>228</v>
      </c>
      <c r="C1458" s="5">
        <v>2019</v>
      </c>
      <c r="D1458" s="7">
        <v>106.86884308</v>
      </c>
      <c r="E1458" s="11">
        <v>68.043000000000006</v>
      </c>
      <c r="F1458" s="10">
        <f>Table1[[#This Row],[Life expectancy at birth, total (years) '[SP.DYN.LE00.IN']]]/Table1[[#This Row],[Current health expenditure per capita (current US$) '[SH.XPD.CHEX.PC.CD']]]</f>
        <v>0.63669632831211898</v>
      </c>
      <c r="G1458" s="4">
        <f>Table1[[#This Row],[Life expectancy at birth, total (years) '[SP.DYN.LE00.IN']]]/Table1[[#This Row],[Current health expenditure per capita (current US$) '[SH.XPD.CHEX.PC.CD']]]*1000</f>
        <v>636.69632831211902</v>
      </c>
    </row>
    <row r="1459" spans="1:7" x14ac:dyDescent="0.25">
      <c r="A1459" s="5" t="s">
        <v>291</v>
      </c>
      <c r="B1459" s="6" t="s">
        <v>228</v>
      </c>
      <c r="C1459" s="5">
        <v>2020</v>
      </c>
      <c r="D1459" s="7">
        <v>159.84396362000001</v>
      </c>
      <c r="E1459" s="11">
        <v>67.978999999999999</v>
      </c>
      <c r="F1459" s="10">
        <f>Table1[[#This Row],[Life expectancy at birth, total (years) '[SP.DYN.LE00.IN']]]/Table1[[#This Row],[Current health expenditure per capita (current US$) '[SH.XPD.CHEX.PC.CD']]]</f>
        <v>0.42528349810949212</v>
      </c>
      <c r="G1459" s="4">
        <f>Table1[[#This Row],[Life expectancy at birth, total (years) '[SP.DYN.LE00.IN']]]/Table1[[#This Row],[Current health expenditure per capita (current US$) '[SH.XPD.CHEX.PC.CD']]]*1000</f>
        <v>425.28349810949214</v>
      </c>
    </row>
    <row r="1460" spans="1:7" x14ac:dyDescent="0.25">
      <c r="A1460" s="5" t="s">
        <v>291</v>
      </c>
      <c r="B1460" s="6" t="s">
        <v>228</v>
      </c>
      <c r="C1460" s="5">
        <v>2021</v>
      </c>
      <c r="D1460" s="7">
        <v>187.06524658000001</v>
      </c>
      <c r="E1460" s="11">
        <v>68.025999999999996</v>
      </c>
      <c r="F1460" s="10">
        <f>Table1[[#This Row],[Life expectancy at birth, total (years) '[SP.DYN.LE00.IN']]]/Table1[[#This Row],[Current health expenditure per capita (current US$) '[SH.XPD.CHEX.PC.CD']]]</f>
        <v>0.36364851966721734</v>
      </c>
      <c r="G1460" s="4">
        <f>Table1[[#This Row],[Life expectancy at birth, total (years) '[SP.DYN.LE00.IN']]]/Table1[[#This Row],[Current health expenditure per capita (current US$) '[SH.XPD.CHEX.PC.CD']]]*1000</f>
        <v>363.64851966721733</v>
      </c>
    </row>
    <row r="1461" spans="1:7" x14ac:dyDescent="0.25">
      <c r="A1461" s="5" t="s">
        <v>291</v>
      </c>
      <c r="B1461" s="6" t="s">
        <v>228</v>
      </c>
      <c r="C1461" s="5">
        <v>2022</v>
      </c>
      <c r="D1461" s="7">
        <v>139.02836608999999</v>
      </c>
      <c r="E1461" s="11">
        <v>69.236999999999995</v>
      </c>
      <c r="F1461" s="10">
        <f>Table1[[#This Row],[Life expectancy at birth, total (years) '[SP.DYN.LE00.IN']]]/Table1[[#This Row],[Current health expenditure per capita (current US$) '[SH.XPD.CHEX.PC.CD']]]</f>
        <v>0.49800628423684007</v>
      </c>
      <c r="G1461" s="4">
        <f>Table1[[#This Row],[Life expectancy at birth, total (years) '[SP.DYN.LE00.IN']]]/Table1[[#This Row],[Current health expenditure per capita (current US$) '[SH.XPD.CHEX.PC.CD']]]*1000</f>
        <v>498.00628423684009</v>
      </c>
    </row>
    <row r="1462" spans="1:7" x14ac:dyDescent="0.25">
      <c r="A1462" s="5" t="s">
        <v>291</v>
      </c>
      <c r="B1462" s="6" t="s">
        <v>228</v>
      </c>
      <c r="C1462" s="5">
        <v>2023</v>
      </c>
      <c r="D1462" s="7">
        <v>171.05166625999999</v>
      </c>
      <c r="E1462" s="11">
        <v>69.718000000000004</v>
      </c>
      <c r="F1462" s="10">
        <f>Table1[[#This Row],[Life expectancy at birth, total (years) '[SP.DYN.LE00.IN']]]/Table1[[#This Row],[Current health expenditure per capita (current US$) '[SH.XPD.CHEX.PC.CD']]]</f>
        <v>0.40758445400951576</v>
      </c>
      <c r="G1462" s="4">
        <f>Table1[[#This Row],[Life expectancy at birth, total (years) '[SP.DYN.LE00.IN']]]/Table1[[#This Row],[Current health expenditure per capita (current US$) '[SH.XPD.CHEX.PC.CD']]]*1000</f>
        <v>407.58445400951575</v>
      </c>
    </row>
    <row r="1463" spans="1:7" hidden="1" x14ac:dyDescent="0.25">
      <c r="B1463" s="1"/>
      <c r="D1463" s="3"/>
      <c r="E1463"/>
      <c r="F1463" t="e">
        <f>Table1[[#This Row],[Life expectancy at birth, total (years) '[SP.DYN.LE00.IN']]]/Table1[[#This Row],[Current health expenditure per capita (current US$) '[SH.XPD.CHEX.PC.CD']]]</f>
        <v>#DIV/0!</v>
      </c>
      <c r="G1463" s="2" t="e">
        <f>Table1[[#This Row],[Life expectancy at birth, total (years) '[SP.DYN.LE00.IN']]]/Table1[[#This Row],[Current health expenditure per capita (current US$) '[SH.XPD.CHEX.PC.CD']]]*1000</f>
        <v>#DIV/0!</v>
      </c>
    </row>
    <row r="1464" spans="1:7" x14ac:dyDescent="0.25">
      <c r="A1464" s="5" t="s">
        <v>334</v>
      </c>
      <c r="B1464" s="6" t="s">
        <v>271</v>
      </c>
      <c r="C1464" s="5">
        <v>2015</v>
      </c>
      <c r="D1464" s="7">
        <v>1309.2714843799999</v>
      </c>
      <c r="E1464" s="11">
        <v>77.775999999999996</v>
      </c>
      <c r="F1464" s="10">
        <f>Table1[[#This Row],[Life expectancy at birth, total (years) '[SP.DYN.LE00.IN']]]/Table1[[#This Row],[Current health expenditure per capita (current US$) '[SH.XPD.CHEX.PC.CD']]]</f>
        <v>5.9404028062850917E-2</v>
      </c>
      <c r="G1464" s="4">
        <f>Table1[[#This Row],[Life expectancy at birth, total (years) '[SP.DYN.LE00.IN']]]/Table1[[#This Row],[Current health expenditure per capita (current US$) '[SH.XPD.CHEX.PC.CD']]]*1000</f>
        <v>59.404028062850919</v>
      </c>
    </row>
    <row r="1465" spans="1:7" x14ac:dyDescent="0.25">
      <c r="A1465" s="5" t="s">
        <v>334</v>
      </c>
      <c r="B1465" s="6" t="s">
        <v>271</v>
      </c>
      <c r="C1465" s="5">
        <v>2016</v>
      </c>
      <c r="D1465" s="7">
        <v>1353.21813965</v>
      </c>
      <c r="E1465" s="11">
        <v>78.353999999999999</v>
      </c>
      <c r="F1465" s="10">
        <f>Table1[[#This Row],[Life expectancy at birth, total (years) '[SP.DYN.LE00.IN']]]/Table1[[#This Row],[Current health expenditure per capita (current US$) '[SH.XPD.CHEX.PC.CD']]]</f>
        <v>5.7901972863196829E-2</v>
      </c>
      <c r="G1465" s="4">
        <f>Table1[[#This Row],[Life expectancy at birth, total (years) '[SP.DYN.LE00.IN']]]/Table1[[#This Row],[Current health expenditure per capita (current US$) '[SH.XPD.CHEX.PC.CD']]]*1000</f>
        <v>57.901972863196832</v>
      </c>
    </row>
    <row r="1466" spans="1:7" x14ac:dyDescent="0.25">
      <c r="A1466" s="5" t="s">
        <v>334</v>
      </c>
      <c r="B1466" s="6" t="s">
        <v>271</v>
      </c>
      <c r="C1466" s="5">
        <v>2017</v>
      </c>
      <c r="D1466" s="7">
        <v>1400.90356445</v>
      </c>
      <c r="E1466" s="11">
        <v>78.721000000000004</v>
      </c>
      <c r="F1466" s="10">
        <f>Table1[[#This Row],[Life expectancy at birth, total (years) '[SP.DYN.LE00.IN']]]/Table1[[#This Row],[Current health expenditure per capita (current US$) '[SH.XPD.CHEX.PC.CD']]]</f>
        <v>5.6193018561492607E-2</v>
      </c>
      <c r="G1466" s="4">
        <f>Table1[[#This Row],[Life expectancy at birth, total (years) '[SP.DYN.LE00.IN']]]/Table1[[#This Row],[Current health expenditure per capita (current US$) '[SH.XPD.CHEX.PC.CD']]]*1000</f>
        <v>56.193018561492607</v>
      </c>
    </row>
    <row r="1467" spans="1:7" x14ac:dyDescent="0.25">
      <c r="A1467" s="5" t="s">
        <v>334</v>
      </c>
      <c r="B1467" s="6" t="s">
        <v>271</v>
      </c>
      <c r="C1467" s="5">
        <v>2018</v>
      </c>
      <c r="D1467" s="7">
        <v>1488.9753418</v>
      </c>
      <c r="E1467" s="11">
        <v>78.75</v>
      </c>
      <c r="F1467" s="10">
        <f>Table1[[#This Row],[Life expectancy at birth, total (years) '[SP.DYN.LE00.IN']]]/Table1[[#This Row],[Current health expenditure per capita (current US$) '[SH.XPD.CHEX.PC.CD']]]</f>
        <v>5.2888720040722974E-2</v>
      </c>
      <c r="G1467" s="4">
        <f>Table1[[#This Row],[Life expectancy at birth, total (years) '[SP.DYN.LE00.IN']]]/Table1[[#This Row],[Current health expenditure per capita (current US$) '[SH.XPD.CHEX.PC.CD']]]*1000</f>
        <v>52.888720040722973</v>
      </c>
    </row>
    <row r="1468" spans="1:7" x14ac:dyDescent="0.25">
      <c r="A1468" s="5" t="s">
        <v>334</v>
      </c>
      <c r="B1468" s="6" t="s">
        <v>271</v>
      </c>
      <c r="C1468" s="5">
        <v>2019</v>
      </c>
      <c r="D1468" s="7">
        <v>1504.5524902300001</v>
      </c>
      <c r="E1468" s="11">
        <v>78.313000000000002</v>
      </c>
      <c r="F1468" s="10">
        <f>Table1[[#This Row],[Life expectancy at birth, total (years) '[SP.DYN.LE00.IN']]]/Table1[[#This Row],[Current health expenditure per capita (current US$) '[SH.XPD.CHEX.PC.CD']]]</f>
        <v>5.2050693151973935E-2</v>
      </c>
      <c r="G1468" s="4">
        <f>Table1[[#This Row],[Life expectancy at birth, total (years) '[SP.DYN.LE00.IN']]]/Table1[[#This Row],[Current health expenditure per capita (current US$) '[SH.XPD.CHEX.PC.CD']]]*1000</f>
        <v>52.050693151973938</v>
      </c>
    </row>
    <row r="1469" spans="1:7" x14ac:dyDescent="0.25">
      <c r="A1469" s="5" t="s">
        <v>334</v>
      </c>
      <c r="B1469" s="6" t="s">
        <v>271</v>
      </c>
      <c r="C1469" s="5">
        <v>2020</v>
      </c>
      <c r="D1469" s="7">
        <v>1574.7006835899999</v>
      </c>
      <c r="E1469" s="11">
        <v>77.596000000000004</v>
      </c>
      <c r="F1469" s="10">
        <f>Table1[[#This Row],[Life expectancy at birth, total (years) '[SP.DYN.LE00.IN']]]/Table1[[#This Row],[Current health expenditure per capita (current US$) '[SH.XPD.CHEX.PC.CD']]]</f>
        <v>4.9276666231640148E-2</v>
      </c>
      <c r="G1469" s="4">
        <f>Table1[[#This Row],[Life expectancy at birth, total (years) '[SP.DYN.LE00.IN']]]/Table1[[#This Row],[Current health expenditure per capita (current US$) '[SH.XPD.CHEX.PC.CD']]]*1000</f>
        <v>49.276666231640149</v>
      </c>
    </row>
    <row r="1470" spans="1:7" x14ac:dyDescent="0.25">
      <c r="A1470" s="5" t="s">
        <v>334</v>
      </c>
      <c r="B1470" s="6" t="s">
        <v>271</v>
      </c>
      <c r="C1470" s="5">
        <v>2021</v>
      </c>
      <c r="D1470" s="7">
        <v>1654.7435302700001</v>
      </c>
      <c r="E1470" s="11">
        <v>77.088999999999999</v>
      </c>
      <c r="F1470" s="10">
        <f>Table1[[#This Row],[Life expectancy at birth, total (years) '[SP.DYN.LE00.IN']]]/Table1[[#This Row],[Current health expenditure per capita (current US$) '[SH.XPD.CHEX.PC.CD']]]</f>
        <v>4.6586675572269254E-2</v>
      </c>
      <c r="G1470" s="4">
        <f>Table1[[#This Row],[Life expectancy at birth, total (years) '[SP.DYN.LE00.IN']]]/Table1[[#This Row],[Current health expenditure per capita (current US$) '[SH.XPD.CHEX.PC.CD']]]*1000</f>
        <v>46.586675572269257</v>
      </c>
    </row>
    <row r="1471" spans="1:7" x14ac:dyDescent="0.25">
      <c r="A1471" s="5" t="s">
        <v>334</v>
      </c>
      <c r="B1471" s="6" t="s">
        <v>271</v>
      </c>
      <c r="C1471" s="5">
        <v>2022</v>
      </c>
      <c r="D1471" s="7">
        <v>1830.8907470700001</v>
      </c>
      <c r="E1471" s="11">
        <v>77.31</v>
      </c>
      <c r="F1471" s="10">
        <f>Table1[[#This Row],[Life expectancy at birth, total (years) '[SP.DYN.LE00.IN']]]/Table1[[#This Row],[Current health expenditure per capita (current US$) '[SH.XPD.CHEX.PC.CD']]]</f>
        <v>4.2225348576216397E-2</v>
      </c>
      <c r="G1471" s="4">
        <f>Table1[[#This Row],[Life expectancy at birth, total (years) '[SP.DYN.LE00.IN']]]/Table1[[#This Row],[Current health expenditure per capita (current US$) '[SH.XPD.CHEX.PC.CD']]]*1000</f>
        <v>42.225348576216398</v>
      </c>
    </row>
    <row r="1472" spans="1:7" x14ac:dyDescent="0.25">
      <c r="A1472" s="5" t="s">
        <v>334</v>
      </c>
      <c r="B1472" s="6" t="s">
        <v>271</v>
      </c>
      <c r="C1472" s="5">
        <v>2023</v>
      </c>
      <c r="D1472" s="7">
        <v>1825.2545166</v>
      </c>
      <c r="E1472" s="11">
        <v>78.731999999999999</v>
      </c>
      <c r="F1472" s="10">
        <f>Table1[[#This Row],[Life expectancy at birth, total (years) '[SP.DYN.LE00.IN']]]/Table1[[#This Row],[Current health expenditure per capita (current US$) '[SH.XPD.CHEX.PC.CD']]]</f>
        <v>4.313480628808871E-2</v>
      </c>
      <c r="G1472" s="4">
        <f>Table1[[#This Row],[Life expectancy at birth, total (years) '[SP.DYN.LE00.IN']]]/Table1[[#This Row],[Current health expenditure per capita (current US$) '[SH.XPD.CHEX.PC.CD']]]*1000</f>
        <v>43.134806288088711</v>
      </c>
    </row>
    <row r="1473" spans="1:7" hidden="1" x14ac:dyDescent="0.25">
      <c r="B1473" s="1"/>
      <c r="D1473" s="3"/>
      <c r="E1473"/>
      <c r="F1473" t="e">
        <f>Table1[[#This Row],[Life expectancy at birth, total (years) '[SP.DYN.LE00.IN']]]/Table1[[#This Row],[Current health expenditure per capita (current US$) '[SH.XPD.CHEX.PC.CD']]]</f>
        <v>#DIV/0!</v>
      </c>
      <c r="G1473" s="2" t="e">
        <f>Table1[[#This Row],[Life expectancy at birth, total (years) '[SP.DYN.LE00.IN']]]/Table1[[#This Row],[Current health expenditure per capita (current US$) '[SH.XPD.CHEX.PC.CD']]]*1000</f>
        <v>#DIV/0!</v>
      </c>
    </row>
    <row r="1474" spans="1:7" x14ac:dyDescent="0.25">
      <c r="A1474" s="5" t="s">
        <v>170</v>
      </c>
      <c r="B1474" s="6" t="s">
        <v>162</v>
      </c>
      <c r="C1474" s="5">
        <v>2015</v>
      </c>
      <c r="D1474" s="7">
        <v>53.323043820000002</v>
      </c>
      <c r="E1474" s="11">
        <v>66.450999999999993</v>
      </c>
      <c r="F1474" s="10">
        <f>Table1[[#This Row],[Life expectancy at birth, total (years) '[SP.DYN.LE00.IN']]]/Table1[[#This Row],[Current health expenditure per capita (current US$) '[SH.XPD.CHEX.PC.CD']]]</f>
        <v>1.2461966766997659</v>
      </c>
      <c r="G1474" s="4">
        <f>Table1[[#This Row],[Life expectancy at birth, total (years) '[SP.DYN.LE00.IN']]]/Table1[[#This Row],[Current health expenditure per capita (current US$) '[SH.XPD.CHEX.PC.CD']]]*1000</f>
        <v>1246.1966766997659</v>
      </c>
    </row>
    <row r="1475" spans="1:7" x14ac:dyDescent="0.25">
      <c r="A1475" s="5" t="s">
        <v>170</v>
      </c>
      <c r="B1475" s="6" t="s">
        <v>162</v>
      </c>
      <c r="C1475" s="5">
        <v>2016</v>
      </c>
      <c r="D1475" s="7">
        <v>53.900535580000003</v>
      </c>
      <c r="E1475" s="11">
        <v>66.724000000000004</v>
      </c>
      <c r="F1475" s="10">
        <f>Table1[[#This Row],[Life expectancy at birth, total (years) '[SP.DYN.LE00.IN']]]/Table1[[#This Row],[Current health expenditure per capita (current US$) '[SH.XPD.CHEX.PC.CD']]]</f>
        <v>1.2379097773707131</v>
      </c>
      <c r="G1475" s="4">
        <f>Table1[[#This Row],[Life expectancy at birth, total (years) '[SP.DYN.LE00.IN']]]/Table1[[#This Row],[Current health expenditure per capita (current US$) '[SH.XPD.CHEX.PC.CD']]]*1000</f>
        <v>1237.9097773707131</v>
      </c>
    </row>
    <row r="1476" spans="1:7" x14ac:dyDescent="0.25">
      <c r="A1476" s="5" t="s">
        <v>170</v>
      </c>
      <c r="B1476" s="6" t="s">
        <v>162</v>
      </c>
      <c r="C1476" s="5">
        <v>2017</v>
      </c>
      <c r="D1476" s="7">
        <v>56.491859439999999</v>
      </c>
      <c r="E1476" s="11">
        <v>67.058999999999997</v>
      </c>
      <c r="F1476" s="10">
        <f>Table1[[#This Row],[Life expectancy at birth, total (years) '[SP.DYN.LE00.IN']]]/Table1[[#This Row],[Current health expenditure per capita (current US$) '[SH.XPD.CHEX.PC.CD']]]</f>
        <v>1.1870559876193021</v>
      </c>
      <c r="G1476" s="4">
        <f>Table1[[#This Row],[Life expectancy at birth, total (years) '[SP.DYN.LE00.IN']]]/Table1[[#This Row],[Current health expenditure per capita (current US$) '[SH.XPD.CHEX.PC.CD']]]*1000</f>
        <v>1187.0559876193022</v>
      </c>
    </row>
    <row r="1477" spans="1:7" x14ac:dyDescent="0.25">
      <c r="A1477" s="5" t="s">
        <v>170</v>
      </c>
      <c r="B1477" s="6" t="s">
        <v>162</v>
      </c>
      <c r="C1477" s="5">
        <v>2018</v>
      </c>
      <c r="D1477" s="7">
        <v>64.374679569999998</v>
      </c>
      <c r="E1477" s="11">
        <v>67.379000000000005</v>
      </c>
      <c r="F1477" s="10">
        <f>Table1[[#This Row],[Life expectancy at birth, total (years) '[SP.DYN.LE00.IN']]]/Table1[[#This Row],[Current health expenditure per capita (current US$) '[SH.XPD.CHEX.PC.CD']]]</f>
        <v>1.0466692875221717</v>
      </c>
      <c r="G1477" s="4">
        <f>Table1[[#This Row],[Life expectancy at birth, total (years) '[SP.DYN.LE00.IN']]]/Table1[[#This Row],[Current health expenditure per capita (current US$) '[SH.XPD.CHEX.PC.CD']]]*1000</f>
        <v>1046.6692875221718</v>
      </c>
    </row>
    <row r="1478" spans="1:7" x14ac:dyDescent="0.25">
      <c r="A1478" s="5" t="s">
        <v>170</v>
      </c>
      <c r="B1478" s="6" t="s">
        <v>162</v>
      </c>
      <c r="C1478" s="5">
        <v>2019</v>
      </c>
      <c r="D1478" s="7">
        <v>64.33670807</v>
      </c>
      <c r="E1478" s="11">
        <v>67.668000000000006</v>
      </c>
      <c r="F1478" s="10">
        <f>Table1[[#This Row],[Life expectancy at birth, total (years) '[SP.DYN.LE00.IN']]]/Table1[[#This Row],[Current health expenditure per capita (current US$) '[SH.XPD.CHEX.PC.CD']]]</f>
        <v>1.0517790236699005</v>
      </c>
      <c r="G1478" s="4">
        <f>Table1[[#This Row],[Life expectancy at birth, total (years) '[SP.DYN.LE00.IN']]]/Table1[[#This Row],[Current health expenditure per capita (current US$) '[SH.XPD.CHEX.PC.CD']]]*1000</f>
        <v>1051.7790236699004</v>
      </c>
    </row>
    <row r="1479" spans="1:7" x14ac:dyDescent="0.25">
      <c r="A1479" s="5" t="s">
        <v>170</v>
      </c>
      <c r="B1479" s="6" t="s">
        <v>162</v>
      </c>
      <c r="C1479" s="5">
        <v>2020</v>
      </c>
      <c r="D1479" s="7">
        <v>75.165214539999994</v>
      </c>
      <c r="E1479" s="11">
        <v>67.495999999999995</v>
      </c>
      <c r="F1479" s="10">
        <f>Table1[[#This Row],[Life expectancy at birth, total (years) '[SP.DYN.LE00.IN']]]/Table1[[#This Row],[Current health expenditure per capita (current US$) '[SH.XPD.CHEX.PC.CD']]]</f>
        <v>0.89796856714991824</v>
      </c>
      <c r="G1479" s="4">
        <f>Table1[[#This Row],[Life expectancy at birth, total (years) '[SP.DYN.LE00.IN']]]/Table1[[#This Row],[Current health expenditure per capita (current US$) '[SH.XPD.CHEX.PC.CD']]]*1000</f>
        <v>897.96856714991827</v>
      </c>
    </row>
    <row r="1480" spans="1:7" x14ac:dyDescent="0.25">
      <c r="A1480" s="5" t="s">
        <v>170</v>
      </c>
      <c r="B1480" s="6" t="s">
        <v>162</v>
      </c>
      <c r="C1480" s="5">
        <v>2021</v>
      </c>
      <c r="D1480" s="7">
        <v>71.121627810000007</v>
      </c>
      <c r="E1480" s="11">
        <v>66.867999999999995</v>
      </c>
      <c r="F1480" s="10">
        <f>Table1[[#This Row],[Life expectancy at birth, total (years) '[SP.DYN.LE00.IN']]]/Table1[[#This Row],[Current health expenditure per capita (current US$) '[SH.XPD.CHEX.PC.CD']]]</f>
        <v>0.94019220396131131</v>
      </c>
      <c r="G1480" s="4">
        <f>Table1[[#This Row],[Life expectancy at birth, total (years) '[SP.DYN.LE00.IN']]]/Table1[[#This Row],[Current health expenditure per capita (current US$) '[SH.XPD.CHEX.PC.CD']]]*1000</f>
        <v>940.19220396131129</v>
      </c>
    </row>
    <row r="1481" spans="1:7" x14ac:dyDescent="0.25">
      <c r="A1481" s="5" t="s">
        <v>170</v>
      </c>
      <c r="B1481" s="6" t="s">
        <v>162</v>
      </c>
      <c r="C1481" s="5">
        <v>2022</v>
      </c>
      <c r="D1481" s="7">
        <v>63.448425290000003</v>
      </c>
      <c r="E1481" s="11">
        <v>67.787999999999997</v>
      </c>
      <c r="F1481" s="10">
        <f>Table1[[#This Row],[Life expectancy at birth, total (years) '[SP.DYN.LE00.IN']]]/Table1[[#This Row],[Current health expenditure per capita (current US$) '[SH.XPD.CHEX.PC.CD']]]</f>
        <v>1.0683953098940653</v>
      </c>
      <c r="G1481" s="4">
        <f>Table1[[#This Row],[Life expectancy at birth, total (years) '[SP.DYN.LE00.IN']]]/Table1[[#This Row],[Current health expenditure per capita (current US$) '[SH.XPD.CHEX.PC.CD']]]*1000</f>
        <v>1068.3953098940653</v>
      </c>
    </row>
    <row r="1482" spans="1:7" x14ac:dyDescent="0.25">
      <c r="A1482" s="5" t="s">
        <v>170</v>
      </c>
      <c r="B1482" s="6" t="s">
        <v>162</v>
      </c>
      <c r="C1482" s="5">
        <v>2023</v>
      </c>
      <c r="D1482" s="7">
        <v>73.22670746</v>
      </c>
      <c r="E1482" s="11">
        <v>68.683000000000007</v>
      </c>
      <c r="F1482" s="10">
        <f>Table1[[#This Row],[Life expectancy at birth, total (years) '[SP.DYN.LE00.IN']]]/Table1[[#This Row],[Current health expenditure per capita (current US$) '[SH.XPD.CHEX.PC.CD']]]</f>
        <v>0.93795013298280561</v>
      </c>
      <c r="G1482" s="4">
        <f>Table1[[#This Row],[Life expectancy at birth, total (years) '[SP.DYN.LE00.IN']]]/Table1[[#This Row],[Current health expenditure per capita (current US$) '[SH.XPD.CHEX.PC.CD']]]*1000</f>
        <v>937.9501329828056</v>
      </c>
    </row>
    <row r="1483" spans="1:7" hidden="1" x14ac:dyDescent="0.25">
      <c r="B1483" s="1"/>
      <c r="D1483" s="3"/>
      <c r="E1483"/>
      <c r="F1483" t="e">
        <f>Table1[[#This Row],[Life expectancy at birth, total (years) '[SP.DYN.LE00.IN']]]/Table1[[#This Row],[Current health expenditure per capita (current US$) '[SH.XPD.CHEX.PC.CD']]]</f>
        <v>#DIV/0!</v>
      </c>
      <c r="G1483" s="2" t="e">
        <f>Table1[[#This Row],[Life expectancy at birth, total (years) '[SP.DYN.LE00.IN']]]/Table1[[#This Row],[Current health expenditure per capita (current US$) '[SH.XPD.CHEX.PC.CD']]]*1000</f>
        <v>#DIV/0!</v>
      </c>
    </row>
    <row r="1484" spans="1:7" x14ac:dyDescent="0.25">
      <c r="A1484" s="5" t="s">
        <v>414</v>
      </c>
      <c r="B1484" s="6" t="s">
        <v>146</v>
      </c>
      <c r="C1484" s="5">
        <v>2015</v>
      </c>
      <c r="D1484" s="7">
        <v>491.25177001999998</v>
      </c>
      <c r="E1484" s="11">
        <v>75.287804878048789</v>
      </c>
      <c r="F1484" s="10">
        <f>Table1[[#This Row],[Life expectancy at birth, total (years) '[SP.DYN.LE00.IN']]]/Table1[[#This Row],[Current health expenditure per capita (current US$) '[SH.XPD.CHEX.PC.CD']]]</f>
        <v>0.15325706587272683</v>
      </c>
      <c r="G1484" s="4">
        <f>Table1[[#This Row],[Life expectancy at birth, total (years) '[SP.DYN.LE00.IN']]]/Table1[[#This Row],[Current health expenditure per capita (current US$) '[SH.XPD.CHEX.PC.CD']]]*1000</f>
        <v>153.25706587272683</v>
      </c>
    </row>
    <row r="1485" spans="1:7" x14ac:dyDescent="0.25">
      <c r="A1485" s="5" t="s">
        <v>414</v>
      </c>
      <c r="B1485" s="6" t="s">
        <v>146</v>
      </c>
      <c r="C1485" s="5">
        <v>2016</v>
      </c>
      <c r="D1485" s="7">
        <v>486.42944335999999</v>
      </c>
      <c r="E1485" s="11">
        <v>75.68780487804878</v>
      </c>
      <c r="F1485" s="10">
        <f>Table1[[#This Row],[Life expectancy at birth, total (years) '[SP.DYN.LE00.IN']]]/Table1[[#This Row],[Current health expenditure per capita (current US$) '[SH.XPD.CHEX.PC.CD']]]</f>
        <v>0.15559873258336715</v>
      </c>
      <c r="G1485" s="4">
        <f>Table1[[#This Row],[Life expectancy at birth, total (years) '[SP.DYN.LE00.IN']]]/Table1[[#This Row],[Current health expenditure per capita (current US$) '[SH.XPD.CHEX.PC.CD']]]*1000</f>
        <v>155.59873258336714</v>
      </c>
    </row>
    <row r="1486" spans="1:7" x14ac:dyDescent="0.25">
      <c r="A1486" s="5" t="s">
        <v>414</v>
      </c>
      <c r="B1486" s="6" t="s">
        <v>146</v>
      </c>
      <c r="C1486" s="5">
        <v>2017</v>
      </c>
      <c r="D1486" s="7">
        <v>515.84570312999995</v>
      </c>
      <c r="E1486" s="11">
        <v>75.53902439024391</v>
      </c>
      <c r="F1486" s="10">
        <f>Table1[[#This Row],[Life expectancy at birth, total (years) '[SP.DYN.LE00.IN']]]/Table1[[#This Row],[Current health expenditure per capita (current US$) '[SH.XPD.CHEX.PC.CD']]]</f>
        <v>0.14643724650975154</v>
      </c>
      <c r="G1486" s="4">
        <f>Table1[[#This Row],[Life expectancy at birth, total (years) '[SP.DYN.LE00.IN']]]/Table1[[#This Row],[Current health expenditure per capita (current US$) '[SH.XPD.CHEX.PC.CD']]]*1000</f>
        <v>146.43724650975153</v>
      </c>
    </row>
    <row r="1487" spans="1:7" x14ac:dyDescent="0.25">
      <c r="A1487" s="5" t="s">
        <v>414</v>
      </c>
      <c r="B1487" s="6" t="s">
        <v>146</v>
      </c>
      <c r="C1487" s="5">
        <v>2018</v>
      </c>
      <c r="D1487" s="7">
        <v>617.08691406000003</v>
      </c>
      <c r="E1487" s="11">
        <v>75.890243902439025</v>
      </c>
      <c r="F1487" s="10">
        <f>Table1[[#This Row],[Life expectancy at birth, total (years) '[SP.DYN.LE00.IN']]]/Table1[[#This Row],[Current health expenditure per capita (current US$) '[SH.XPD.CHEX.PC.CD']]]</f>
        <v>0.1229814507054352</v>
      </c>
      <c r="G1487" s="4">
        <f>Table1[[#This Row],[Life expectancy at birth, total (years) '[SP.DYN.LE00.IN']]]/Table1[[#This Row],[Current health expenditure per capita (current US$) '[SH.XPD.CHEX.PC.CD']]]*1000</f>
        <v>122.98145070543521</v>
      </c>
    </row>
    <row r="1488" spans="1:7" x14ac:dyDescent="0.25">
      <c r="A1488" s="5" t="s">
        <v>414</v>
      </c>
      <c r="B1488" s="6" t="s">
        <v>146</v>
      </c>
      <c r="C1488" s="5">
        <v>2019</v>
      </c>
      <c r="D1488" s="7">
        <v>641.04754638999998</v>
      </c>
      <c r="E1488" s="11">
        <v>75.936585365853674</v>
      </c>
      <c r="F1488" s="10">
        <f>Table1[[#This Row],[Life expectancy at birth, total (years) '[SP.DYN.LE00.IN']]]/Table1[[#This Row],[Current health expenditure per capita (current US$) '[SH.XPD.CHEX.PC.CD']]]</f>
        <v>0.11845702521362657</v>
      </c>
      <c r="G1488" s="4">
        <f>Table1[[#This Row],[Life expectancy at birth, total (years) '[SP.DYN.LE00.IN']]]/Table1[[#This Row],[Current health expenditure per capita (current US$) '[SH.XPD.CHEX.PC.CD']]]*1000</f>
        <v>118.45702521362657</v>
      </c>
    </row>
    <row r="1489" spans="1:7" x14ac:dyDescent="0.25">
      <c r="A1489" s="5" t="s">
        <v>414</v>
      </c>
      <c r="B1489" s="6" t="s">
        <v>146</v>
      </c>
      <c r="C1489" s="5">
        <v>2020</v>
      </c>
      <c r="D1489" s="7">
        <v>670.03564453000001</v>
      </c>
      <c r="E1489" s="11">
        <v>74.478048780487811</v>
      </c>
      <c r="F1489" s="10">
        <f>Table1[[#This Row],[Life expectancy at birth, total (years) '[SP.DYN.LE00.IN']]]/Table1[[#This Row],[Current health expenditure per capita (current US$) '[SH.XPD.CHEX.PC.CD']]]</f>
        <v>0.11115535328382541</v>
      </c>
      <c r="G1489" s="4">
        <f>Table1[[#This Row],[Life expectancy at birth, total (years) '[SP.DYN.LE00.IN']]]/Table1[[#This Row],[Current health expenditure per capita (current US$) '[SH.XPD.CHEX.PC.CD']]]*1000</f>
        <v>111.15535328382541</v>
      </c>
    </row>
    <row r="1490" spans="1:7" x14ac:dyDescent="0.25">
      <c r="A1490" s="5" t="s">
        <v>414</v>
      </c>
      <c r="B1490" s="6" t="s">
        <v>146</v>
      </c>
      <c r="C1490" s="5">
        <v>2021</v>
      </c>
      <c r="D1490" s="7">
        <v>889.09753418000003</v>
      </c>
      <c r="E1490" s="11">
        <v>72.780487804878049</v>
      </c>
      <c r="F1490" s="10">
        <f>Table1[[#This Row],[Life expectancy at birth, total (years) '[SP.DYN.LE00.IN']]]/Table1[[#This Row],[Current health expenditure per capita (current US$) '[SH.XPD.CHEX.PC.CD']]]</f>
        <v>8.1858834387615625E-2</v>
      </c>
      <c r="G1490" s="4">
        <f>Table1[[#This Row],[Life expectancy at birth, total (years) '[SP.DYN.LE00.IN']]]/Table1[[#This Row],[Current health expenditure per capita (current US$) '[SH.XPD.CHEX.PC.CD']]]*1000</f>
        <v>81.85883438761563</v>
      </c>
    </row>
    <row r="1491" spans="1:7" x14ac:dyDescent="0.25">
      <c r="A1491" s="5" t="s">
        <v>414</v>
      </c>
      <c r="B1491" s="6" t="s">
        <v>146</v>
      </c>
      <c r="C1491" s="5">
        <v>2022</v>
      </c>
      <c r="D1491" s="7">
        <v>843.57733154000005</v>
      </c>
      <c r="E1491" s="11">
        <v>75.236585365853671</v>
      </c>
      <c r="F1491" s="10">
        <f>Table1[[#This Row],[Life expectancy at birth, total (years) '[SP.DYN.LE00.IN']]]/Table1[[#This Row],[Current health expenditure per capita (current US$) '[SH.XPD.CHEX.PC.CD']]]</f>
        <v>8.9187538063054461E-2</v>
      </c>
      <c r="G1491" s="4">
        <f>Table1[[#This Row],[Life expectancy at birth, total (years) '[SP.DYN.LE00.IN']]]/Table1[[#This Row],[Current health expenditure per capita (current US$) '[SH.XPD.CHEX.PC.CD']]]*1000</f>
        <v>89.187538063054461</v>
      </c>
    </row>
    <row r="1492" spans="1:7" x14ac:dyDescent="0.25">
      <c r="A1492" s="5" t="s">
        <v>414</v>
      </c>
      <c r="B1492" s="6" t="s">
        <v>146</v>
      </c>
      <c r="C1492" s="5">
        <v>2023</v>
      </c>
      <c r="D1492" s="7">
        <v>983.69372558999999</v>
      </c>
      <c r="E1492" s="11">
        <v>76.220975609756096</v>
      </c>
      <c r="F1492" s="10">
        <f>Table1[[#This Row],[Life expectancy at birth, total (years) '[SP.DYN.LE00.IN']]]/Table1[[#This Row],[Current health expenditure per capita (current US$) '[SH.XPD.CHEX.PC.CD']]]</f>
        <v>7.7484458451781077E-2</v>
      </c>
      <c r="G1492" s="4">
        <f>Table1[[#This Row],[Life expectancy at birth, total (years) '[SP.DYN.LE00.IN']]]/Table1[[#This Row],[Current health expenditure per capita (current US$) '[SH.XPD.CHEX.PC.CD']]]*1000</f>
        <v>77.48445845178108</v>
      </c>
    </row>
    <row r="1493" spans="1:7" hidden="1" x14ac:dyDescent="0.25">
      <c r="B1493" s="1"/>
      <c r="D1493" s="3"/>
      <c r="E1493"/>
      <c r="F1493" t="e">
        <f>Table1[[#This Row],[Life expectancy at birth, total (years) '[SP.DYN.LE00.IN']]]/Table1[[#This Row],[Current health expenditure per capita (current US$) '[SH.XPD.CHEX.PC.CD']]]</f>
        <v>#DIV/0!</v>
      </c>
      <c r="G1493" s="2" t="e">
        <f>Table1[[#This Row],[Life expectancy at birth, total (years) '[SP.DYN.LE00.IN']]]/Table1[[#This Row],[Current health expenditure per capita (current US$) '[SH.XPD.CHEX.PC.CD']]]*1000</f>
        <v>#DIV/0!</v>
      </c>
    </row>
    <row r="1494" spans="1:7" x14ac:dyDescent="0.25">
      <c r="A1494" s="5" t="s">
        <v>217</v>
      </c>
      <c r="B1494" s="6" t="s">
        <v>79</v>
      </c>
      <c r="C1494" s="5">
        <v>2015</v>
      </c>
      <c r="D1494" s="7">
        <v>566.96704102000001</v>
      </c>
      <c r="E1494" s="11">
        <v>74.295121951219528</v>
      </c>
      <c r="F1494" s="10">
        <f>Table1[[#This Row],[Life expectancy at birth, total (years) '[SP.DYN.LE00.IN']]]/Table1[[#This Row],[Current health expenditure per capita (current US$) '[SH.XPD.CHEX.PC.CD']]]</f>
        <v>0.13103957827523652</v>
      </c>
      <c r="G1494" s="4">
        <f>Table1[[#This Row],[Life expectancy at birth, total (years) '[SP.DYN.LE00.IN']]]/Table1[[#This Row],[Current health expenditure per capita (current US$) '[SH.XPD.CHEX.PC.CD']]]*1000</f>
        <v>131.03957827523652</v>
      </c>
    </row>
    <row r="1495" spans="1:7" x14ac:dyDescent="0.25">
      <c r="A1495" s="5" t="s">
        <v>217</v>
      </c>
      <c r="B1495" s="6" t="s">
        <v>79</v>
      </c>
      <c r="C1495" s="5">
        <v>2016</v>
      </c>
      <c r="D1495" s="7">
        <v>673.19622803000004</v>
      </c>
      <c r="E1495" s="11">
        <v>74.309756097560992</v>
      </c>
      <c r="F1495" s="10">
        <f>Table1[[#This Row],[Life expectancy at birth, total (years) '[SP.DYN.LE00.IN']]]/Table1[[#This Row],[Current health expenditure per capita (current US$) '[SH.XPD.CHEX.PC.CD']]]</f>
        <v>0.11038350038742267</v>
      </c>
      <c r="G1495" s="4">
        <f>Table1[[#This Row],[Life expectancy at birth, total (years) '[SP.DYN.LE00.IN']]]/Table1[[#This Row],[Current health expenditure per capita (current US$) '[SH.XPD.CHEX.PC.CD']]]*1000</f>
        <v>110.38350038742267</v>
      </c>
    </row>
    <row r="1496" spans="1:7" x14ac:dyDescent="0.25">
      <c r="A1496" s="5" t="s">
        <v>217</v>
      </c>
      <c r="B1496" s="6" t="s">
        <v>79</v>
      </c>
      <c r="C1496" s="5">
        <v>2017</v>
      </c>
      <c r="D1496" s="7">
        <v>667.09515381000006</v>
      </c>
      <c r="E1496" s="11">
        <v>74.300000000000011</v>
      </c>
      <c r="F1496" s="10">
        <f>Table1[[#This Row],[Life expectancy at birth, total (years) '[SP.DYN.LE00.IN']]]/Table1[[#This Row],[Current health expenditure per capita (current US$) '[SH.XPD.CHEX.PC.CD']]]</f>
        <v>0.11137841367254468</v>
      </c>
      <c r="G1496" s="4">
        <f>Table1[[#This Row],[Life expectancy at birth, total (years) '[SP.DYN.LE00.IN']]]/Table1[[#This Row],[Current health expenditure per capita (current US$) '[SH.XPD.CHEX.PC.CD']]]*1000</f>
        <v>111.37841367254468</v>
      </c>
    </row>
    <row r="1497" spans="1:7" x14ac:dyDescent="0.25">
      <c r="A1497" s="5" t="s">
        <v>217</v>
      </c>
      <c r="B1497" s="6" t="s">
        <v>79</v>
      </c>
      <c r="C1497" s="5">
        <v>2018</v>
      </c>
      <c r="D1497" s="7">
        <v>685.10827637</v>
      </c>
      <c r="E1497" s="11">
        <v>72.841463414634148</v>
      </c>
      <c r="F1497" s="10">
        <f>Table1[[#This Row],[Life expectancy at birth, total (years) '[SP.DYN.LE00.IN']]]/Table1[[#This Row],[Current health expenditure per capita (current US$) '[SH.XPD.CHEX.PC.CD']]]</f>
        <v>0.10632109686454196</v>
      </c>
      <c r="G1497" s="4">
        <f>Table1[[#This Row],[Life expectancy at birth, total (years) '[SP.DYN.LE00.IN']]]/Table1[[#This Row],[Current health expenditure per capita (current US$) '[SH.XPD.CHEX.PC.CD']]]*1000</f>
        <v>106.32109686454196</v>
      </c>
    </row>
    <row r="1498" spans="1:7" x14ac:dyDescent="0.25">
      <c r="A1498" s="5" t="s">
        <v>217</v>
      </c>
      <c r="B1498" s="6" t="s">
        <v>79</v>
      </c>
      <c r="C1498" s="5">
        <v>2019</v>
      </c>
      <c r="D1498" s="7">
        <v>675.47839354999996</v>
      </c>
      <c r="E1498" s="11">
        <v>74.046341463414649</v>
      </c>
      <c r="F1498" s="10">
        <f>Table1[[#This Row],[Life expectancy at birth, total (years) '[SP.DYN.LE00.IN']]]/Table1[[#This Row],[Current health expenditure per capita (current US$) '[SH.XPD.CHEX.PC.CD']]]</f>
        <v>0.10962059211733118</v>
      </c>
      <c r="G1498" s="4">
        <f>Table1[[#This Row],[Life expectancy at birth, total (years) '[SP.DYN.LE00.IN']]]/Table1[[#This Row],[Current health expenditure per capita (current US$) '[SH.XPD.CHEX.PC.CD']]]*1000</f>
        <v>109.62059211733117</v>
      </c>
    </row>
    <row r="1499" spans="1:7" x14ac:dyDescent="0.25">
      <c r="A1499" s="5" t="s">
        <v>217</v>
      </c>
      <c r="B1499" s="6" t="s">
        <v>79</v>
      </c>
      <c r="C1499" s="5">
        <v>2020</v>
      </c>
      <c r="D1499" s="7">
        <v>670.88684081999997</v>
      </c>
      <c r="E1499" s="11">
        <v>77.236585365853671</v>
      </c>
      <c r="F1499" s="10">
        <f>Table1[[#This Row],[Life expectancy at birth, total (years) '[SP.DYN.LE00.IN']]]/Table1[[#This Row],[Current health expenditure per capita (current US$) '[SH.XPD.CHEX.PC.CD']]]</f>
        <v>0.11512609976289037</v>
      </c>
      <c r="G1499" s="4">
        <f>Table1[[#This Row],[Life expectancy at birth, total (years) '[SP.DYN.LE00.IN']]]/Table1[[#This Row],[Current health expenditure per capita (current US$) '[SH.XPD.CHEX.PC.CD']]]*1000</f>
        <v>115.12609976289038</v>
      </c>
    </row>
    <row r="1500" spans="1:7" x14ac:dyDescent="0.25">
      <c r="A1500" s="5" t="s">
        <v>217</v>
      </c>
      <c r="B1500" s="6" t="s">
        <v>79</v>
      </c>
      <c r="C1500" s="5">
        <v>2021</v>
      </c>
      <c r="D1500" s="7">
        <v>629.85974121000004</v>
      </c>
      <c r="E1500" s="11">
        <v>73.39756097560975</v>
      </c>
      <c r="F1500" s="10">
        <f>Table1[[#This Row],[Life expectancy at birth, total (years) '[SP.DYN.LE00.IN']]]/Table1[[#This Row],[Current health expenditure per capita (current US$) '[SH.XPD.CHEX.PC.CD']]]</f>
        <v>0.11653000846602521</v>
      </c>
      <c r="G1500" s="4">
        <f>Table1[[#This Row],[Life expectancy at birth, total (years) '[SP.DYN.LE00.IN']]]/Table1[[#This Row],[Current health expenditure per capita (current US$) '[SH.XPD.CHEX.PC.CD']]]*1000</f>
        <v>116.53000846602521</v>
      </c>
    </row>
    <row r="1501" spans="1:7" x14ac:dyDescent="0.25">
      <c r="A1501" s="5" t="s">
        <v>217</v>
      </c>
      <c r="B1501" s="6" t="s">
        <v>79</v>
      </c>
      <c r="C1501" s="5">
        <v>2022</v>
      </c>
      <c r="D1501" s="7">
        <v>707.34448241999996</v>
      </c>
      <c r="E1501" s="11">
        <v>73.702439024390259</v>
      </c>
      <c r="F1501" s="10">
        <f>Table1[[#This Row],[Life expectancy at birth, total (years) '[SP.DYN.LE00.IN']]]/Table1[[#This Row],[Current health expenditure per capita (current US$) '[SH.XPD.CHEX.PC.CD']]]</f>
        <v>0.10419596230147443</v>
      </c>
      <c r="G1501" s="4">
        <f>Table1[[#This Row],[Life expectancy at birth, total (years) '[SP.DYN.LE00.IN']]]/Table1[[#This Row],[Current health expenditure per capita (current US$) '[SH.XPD.CHEX.PC.CD']]]*1000</f>
        <v>104.19596230147444</v>
      </c>
    </row>
    <row r="1502" spans="1:7" x14ac:dyDescent="0.25">
      <c r="A1502" s="5" t="s">
        <v>217</v>
      </c>
      <c r="B1502" s="6" t="s">
        <v>79</v>
      </c>
      <c r="C1502" s="5">
        <v>2023</v>
      </c>
      <c r="D1502" s="7">
        <v>766.28778076000003</v>
      </c>
      <c r="E1502" s="11">
        <v>74.958536585365863</v>
      </c>
      <c r="F1502" s="10">
        <f>Table1[[#This Row],[Life expectancy at birth, total (years) '[SP.DYN.LE00.IN']]]/Table1[[#This Row],[Current health expenditure per capita (current US$) '[SH.XPD.CHEX.PC.CD']]]</f>
        <v>9.7820346960279594E-2</v>
      </c>
      <c r="G1502" s="4">
        <f>Table1[[#This Row],[Life expectancy at birth, total (years) '[SP.DYN.LE00.IN']]]/Table1[[#This Row],[Current health expenditure per capita (current US$) '[SH.XPD.CHEX.PC.CD']]]*1000</f>
        <v>97.820346960279593</v>
      </c>
    </row>
    <row r="1503" spans="1:7" hidden="1" x14ac:dyDescent="0.25">
      <c r="B1503" s="1"/>
      <c r="D1503" s="3"/>
      <c r="E1503"/>
      <c r="F1503" t="e">
        <f>Table1[[#This Row],[Life expectancy at birth, total (years) '[SP.DYN.LE00.IN']]]/Table1[[#This Row],[Current health expenditure per capita (current US$) '[SH.XPD.CHEX.PC.CD']]]</f>
        <v>#DIV/0!</v>
      </c>
      <c r="G1503" s="2" t="e">
        <f>Table1[[#This Row],[Life expectancy at birth, total (years) '[SP.DYN.LE00.IN']]]/Table1[[#This Row],[Current health expenditure per capita (current US$) '[SH.XPD.CHEX.PC.CD']]]*1000</f>
        <v>#DIV/0!</v>
      </c>
    </row>
    <row r="1504" spans="1:7" x14ac:dyDescent="0.25">
      <c r="A1504" s="5" t="s">
        <v>118</v>
      </c>
      <c r="B1504" s="6" t="s">
        <v>218</v>
      </c>
      <c r="C1504" s="5">
        <v>2015</v>
      </c>
      <c r="D1504" s="7">
        <v>118.66024016999999</v>
      </c>
      <c r="E1504" s="11">
        <v>55.454000000000001</v>
      </c>
      <c r="F1504" s="10">
        <f>Table1[[#This Row],[Life expectancy at birth, total (years) '[SP.DYN.LE00.IN']]]/Table1[[#This Row],[Current health expenditure per capita (current US$) '[SH.XPD.CHEX.PC.CD']]]</f>
        <v>0.46733429765988316</v>
      </c>
      <c r="G1504" s="4">
        <f>Table1[[#This Row],[Life expectancy at birth, total (years) '[SP.DYN.LE00.IN']]]/Table1[[#This Row],[Current health expenditure per capita (current US$) '[SH.XPD.CHEX.PC.CD']]]*1000</f>
        <v>467.33429765988313</v>
      </c>
    </row>
    <row r="1505" spans="1:7" x14ac:dyDescent="0.25">
      <c r="A1505" s="5" t="s">
        <v>118</v>
      </c>
      <c r="B1505" s="6" t="s">
        <v>218</v>
      </c>
      <c r="C1505" s="5">
        <v>2016</v>
      </c>
      <c r="D1505" s="7">
        <v>84.223167419999996</v>
      </c>
      <c r="E1505" s="11">
        <v>56.936999999999998</v>
      </c>
      <c r="F1505" s="10">
        <f>Table1[[#This Row],[Life expectancy at birth, total (years) '[SP.DYN.LE00.IN']]]/Table1[[#This Row],[Current health expenditure per capita (current US$) '[SH.XPD.CHEX.PC.CD']]]</f>
        <v>0.67602539472386891</v>
      </c>
      <c r="G1505" s="4">
        <f>Table1[[#This Row],[Life expectancy at birth, total (years) '[SP.DYN.LE00.IN']]]/Table1[[#This Row],[Current health expenditure per capita (current US$) '[SH.XPD.CHEX.PC.CD']]]*1000</f>
        <v>676.02539472386889</v>
      </c>
    </row>
    <row r="1506" spans="1:7" x14ac:dyDescent="0.25">
      <c r="A1506" s="5" t="s">
        <v>118</v>
      </c>
      <c r="B1506" s="6" t="s">
        <v>218</v>
      </c>
      <c r="C1506" s="5">
        <v>2017</v>
      </c>
      <c r="D1506" s="7">
        <v>47.377372739999998</v>
      </c>
      <c r="E1506" s="11">
        <v>57.761000000000003</v>
      </c>
      <c r="F1506" s="10">
        <f>Table1[[#This Row],[Life expectancy at birth, total (years) '[SP.DYN.LE00.IN']]]/Table1[[#This Row],[Current health expenditure per capita (current US$) '[SH.XPD.CHEX.PC.CD']]]</f>
        <v>1.2191684903463054</v>
      </c>
      <c r="G1506" s="4">
        <f>Table1[[#This Row],[Life expectancy at birth, total (years) '[SP.DYN.LE00.IN']]]/Table1[[#This Row],[Current health expenditure per capita (current US$) '[SH.XPD.CHEX.PC.CD']]]*1000</f>
        <v>1219.1684903463054</v>
      </c>
    </row>
    <row r="1507" spans="1:7" x14ac:dyDescent="0.25">
      <c r="A1507" s="5" t="s">
        <v>118</v>
      </c>
      <c r="B1507" s="6" t="s">
        <v>218</v>
      </c>
      <c r="C1507" s="5">
        <v>2018</v>
      </c>
      <c r="D1507" s="7">
        <v>44.827335359999999</v>
      </c>
      <c r="E1507" s="11">
        <v>59.058999999999997</v>
      </c>
      <c r="F1507" s="10">
        <f>Table1[[#This Row],[Life expectancy at birth, total (years) '[SP.DYN.LE00.IN']]]/Table1[[#This Row],[Current health expenditure per capita (current US$) '[SH.XPD.CHEX.PC.CD']]]</f>
        <v>1.3174773723601492</v>
      </c>
      <c r="G1507" s="4">
        <f>Table1[[#This Row],[Life expectancy at birth, total (years) '[SP.DYN.LE00.IN']]]/Table1[[#This Row],[Current health expenditure per capita (current US$) '[SH.XPD.CHEX.PC.CD']]]*1000</f>
        <v>1317.4773723601493</v>
      </c>
    </row>
    <row r="1508" spans="1:7" x14ac:dyDescent="0.25">
      <c r="A1508" s="5" t="s">
        <v>118</v>
      </c>
      <c r="B1508" s="6" t="s">
        <v>218</v>
      </c>
      <c r="C1508" s="5">
        <v>2019</v>
      </c>
      <c r="D1508" s="7">
        <v>48.136199949999998</v>
      </c>
      <c r="E1508" s="11">
        <v>59.593000000000004</v>
      </c>
      <c r="F1508" s="10">
        <f>Table1[[#This Row],[Life expectancy at birth, total (years) '[SP.DYN.LE00.IN']]]/Table1[[#This Row],[Current health expenditure per capita (current US$) '[SH.XPD.CHEX.PC.CD']]]</f>
        <v>1.2380079869599263</v>
      </c>
      <c r="G1508" s="4">
        <f>Table1[[#This Row],[Life expectancy at birth, total (years) '[SP.DYN.LE00.IN']]]/Table1[[#This Row],[Current health expenditure per capita (current US$) '[SH.XPD.CHEX.PC.CD']]]*1000</f>
        <v>1238.0079869599263</v>
      </c>
    </row>
    <row r="1509" spans="1:7" x14ac:dyDescent="0.25">
      <c r="A1509" s="5" t="s">
        <v>118</v>
      </c>
      <c r="B1509" s="6" t="s">
        <v>218</v>
      </c>
      <c r="C1509" s="5">
        <v>2020</v>
      </c>
      <c r="D1509" s="7">
        <v>47.886161799999996</v>
      </c>
      <c r="E1509" s="11">
        <v>59.694000000000003</v>
      </c>
      <c r="F1509" s="10">
        <f>Table1[[#This Row],[Life expectancy at birth, total (years) '[SP.DYN.LE00.IN']]]/Table1[[#This Row],[Current health expenditure per capita (current US$) '[SH.XPD.CHEX.PC.CD']]]</f>
        <v>1.2465814288753458</v>
      </c>
      <c r="G1509" s="4">
        <f>Table1[[#This Row],[Life expectancy at birth, total (years) '[SP.DYN.LE00.IN']]]/Table1[[#This Row],[Current health expenditure per capita (current US$) '[SH.XPD.CHEX.PC.CD']]]*1000</f>
        <v>1246.5814288753459</v>
      </c>
    </row>
    <row r="1510" spans="1:7" x14ac:dyDescent="0.25">
      <c r="A1510" s="5" t="s">
        <v>118</v>
      </c>
      <c r="B1510" s="6" t="s">
        <v>218</v>
      </c>
      <c r="C1510" s="5">
        <v>2021</v>
      </c>
      <c r="D1510" s="7">
        <v>44.900493619999999</v>
      </c>
      <c r="E1510" s="11">
        <v>60.26</v>
      </c>
      <c r="F1510" s="10">
        <f>Table1[[#This Row],[Life expectancy at birth, total (years) '[SP.DYN.LE00.IN']]]/Table1[[#This Row],[Current health expenditure per capita (current US$) '[SH.XPD.CHEX.PC.CD']]]</f>
        <v>1.3420787867053297</v>
      </c>
      <c r="G1510" s="4">
        <f>Table1[[#This Row],[Life expectancy at birth, total (years) '[SP.DYN.LE00.IN']]]/Table1[[#This Row],[Current health expenditure per capita (current US$) '[SH.XPD.CHEX.PC.CD']]]*1000</f>
        <v>1342.0787867053295</v>
      </c>
    </row>
    <row r="1511" spans="1:7" x14ac:dyDescent="0.25">
      <c r="A1511" s="5" t="s">
        <v>118</v>
      </c>
      <c r="B1511" s="6" t="s">
        <v>218</v>
      </c>
      <c r="C1511" s="5">
        <v>2022</v>
      </c>
      <c r="D1511" s="7">
        <v>41.318752289999999</v>
      </c>
      <c r="E1511" s="11">
        <v>61.274999999999999</v>
      </c>
      <c r="F1511" s="10">
        <f>Table1[[#This Row],[Life expectancy at birth, total (years) '[SP.DYN.LE00.IN']]]/Table1[[#This Row],[Current health expenditure per capita (current US$) '[SH.XPD.CHEX.PC.CD']]]</f>
        <v>1.4829828250847215</v>
      </c>
      <c r="G1511" s="4">
        <f>Table1[[#This Row],[Life expectancy at birth, total (years) '[SP.DYN.LE00.IN']]]/Table1[[#This Row],[Current health expenditure per capita (current US$) '[SH.XPD.CHEX.PC.CD']]]*1000</f>
        <v>1482.9828250847215</v>
      </c>
    </row>
    <row r="1512" spans="1:7" x14ac:dyDescent="0.25">
      <c r="A1512" s="5" t="s">
        <v>118</v>
      </c>
      <c r="B1512" s="6" t="s">
        <v>218</v>
      </c>
      <c r="C1512" s="5">
        <v>2023</v>
      </c>
      <c r="D1512" s="7">
        <v>35.762050629999997</v>
      </c>
      <c r="E1512" s="11">
        <v>61.786000000000001</v>
      </c>
      <c r="F1512" s="10">
        <f>Table1[[#This Row],[Life expectancy at birth, total (years) '[SP.DYN.LE00.IN']]]/Table1[[#This Row],[Current health expenditure per capita (current US$) '[SH.XPD.CHEX.PC.CD']]]</f>
        <v>1.727697347091419</v>
      </c>
      <c r="G1512" s="4">
        <f>Table1[[#This Row],[Life expectancy at birth, total (years) '[SP.DYN.LE00.IN']]]/Table1[[#This Row],[Current health expenditure per capita (current US$) '[SH.XPD.CHEX.PC.CD']]]*1000</f>
        <v>1727.697347091419</v>
      </c>
    </row>
    <row r="1513" spans="1:7" hidden="1" x14ac:dyDescent="0.25">
      <c r="B1513" s="1"/>
      <c r="D1513" s="3"/>
      <c r="E1513"/>
      <c r="F1513" t="e">
        <f>Table1[[#This Row],[Life expectancy at birth, total (years) '[SP.DYN.LE00.IN']]]/Table1[[#This Row],[Current health expenditure per capita (current US$) '[SH.XPD.CHEX.PC.CD']]]</f>
        <v>#DIV/0!</v>
      </c>
      <c r="G1513" s="2" t="e">
        <f>Table1[[#This Row],[Life expectancy at birth, total (years) '[SP.DYN.LE00.IN']]]/Table1[[#This Row],[Current health expenditure per capita (current US$) '[SH.XPD.CHEX.PC.CD']]]*1000</f>
        <v>#DIV/0!</v>
      </c>
    </row>
    <row r="1514" spans="1:7" x14ac:dyDescent="0.25">
      <c r="A1514" s="5" t="s">
        <v>107</v>
      </c>
      <c r="B1514" s="6" t="s">
        <v>132</v>
      </c>
      <c r="C1514" s="5">
        <v>2015</v>
      </c>
      <c r="D1514" s="7">
        <v>2330.3959960900002</v>
      </c>
      <c r="E1514" s="11">
        <v>82.743902439024396</v>
      </c>
      <c r="F1514" s="10">
        <f>Table1[[#This Row],[Life expectancy at birth, total (years) '[SP.DYN.LE00.IN']]]/Table1[[#This Row],[Current health expenditure per capita (current US$) '[SH.XPD.CHEX.PC.CD']]]</f>
        <v>3.5506369980833431E-2</v>
      </c>
      <c r="G1514" s="4">
        <f>Table1[[#This Row],[Life expectancy at birth, total (years) '[SP.DYN.LE00.IN']]]/Table1[[#This Row],[Current health expenditure per capita (current US$) '[SH.XPD.CHEX.PC.CD']]]*1000</f>
        <v>35.506369980833433</v>
      </c>
    </row>
    <row r="1515" spans="1:7" x14ac:dyDescent="0.25">
      <c r="A1515" s="5" t="s">
        <v>107</v>
      </c>
      <c r="B1515" s="6" t="s">
        <v>132</v>
      </c>
      <c r="C1515" s="5">
        <v>2016</v>
      </c>
      <c r="D1515" s="7">
        <v>2509.9216308599998</v>
      </c>
      <c r="E1515" s="11">
        <v>82.846341463414646</v>
      </c>
      <c r="F1515" s="10">
        <f>Table1[[#This Row],[Life expectancy at birth, total (years) '[SP.DYN.LE00.IN']]]/Table1[[#This Row],[Current health expenditure per capita (current US$) '[SH.XPD.CHEX.PC.CD']]]</f>
        <v>3.3007541129891044E-2</v>
      </c>
      <c r="G1515" s="4">
        <f>Table1[[#This Row],[Life expectancy at birth, total (years) '[SP.DYN.LE00.IN']]]/Table1[[#This Row],[Current health expenditure per capita (current US$) '[SH.XPD.CHEX.PC.CD']]]*1000</f>
        <v>33.007541129891045</v>
      </c>
    </row>
    <row r="1516" spans="1:7" x14ac:dyDescent="0.25">
      <c r="A1516" s="5" t="s">
        <v>107</v>
      </c>
      <c r="B1516" s="6" t="s">
        <v>132</v>
      </c>
      <c r="C1516" s="5">
        <v>2017</v>
      </c>
      <c r="D1516" s="7">
        <v>2673.6621093799999</v>
      </c>
      <c r="E1516" s="11">
        <v>83.095121951219539</v>
      </c>
      <c r="F1516" s="10">
        <f>Table1[[#This Row],[Life expectancy at birth, total (years) '[SP.DYN.LE00.IN']]]/Table1[[#This Row],[Current health expenditure per capita (current US$) '[SH.XPD.CHEX.PC.CD']]]</f>
        <v>3.1079141100028008E-2</v>
      </c>
      <c r="G1516" s="4">
        <f>Table1[[#This Row],[Life expectancy at birth, total (years) '[SP.DYN.LE00.IN']]]/Table1[[#This Row],[Current health expenditure per capita (current US$) '[SH.XPD.CHEX.PC.CD']]]*1000</f>
        <v>31.079141100028007</v>
      </c>
    </row>
    <row r="1517" spans="1:7" x14ac:dyDescent="0.25">
      <c r="A1517" s="5" t="s">
        <v>107</v>
      </c>
      <c r="B1517" s="6" t="s">
        <v>132</v>
      </c>
      <c r="C1517" s="5">
        <v>2018</v>
      </c>
      <c r="D1517" s="7">
        <v>2726.0068359400002</v>
      </c>
      <c r="E1517" s="11">
        <v>83.297560975609755</v>
      </c>
      <c r="F1517" s="10">
        <f>Table1[[#This Row],[Life expectancy at birth, total (years) '[SP.DYN.LE00.IN']]]/Table1[[#This Row],[Current health expenditure per capita (current US$) '[SH.XPD.CHEX.PC.CD']]]</f>
        <v>3.0556622190892828E-2</v>
      </c>
      <c r="G1517" s="4">
        <f>Table1[[#This Row],[Life expectancy at birth, total (years) '[SP.DYN.LE00.IN']]]/Table1[[#This Row],[Current health expenditure per capita (current US$) '[SH.XPD.CHEX.PC.CD']]]*1000</f>
        <v>30.556622190892828</v>
      </c>
    </row>
    <row r="1518" spans="1:7" x14ac:dyDescent="0.25">
      <c r="A1518" s="5" t="s">
        <v>107</v>
      </c>
      <c r="B1518" s="6" t="s">
        <v>132</v>
      </c>
      <c r="C1518" s="5">
        <v>2019</v>
      </c>
      <c r="D1518" s="7">
        <v>2924.2470703099998</v>
      </c>
      <c r="E1518" s="11">
        <v>83.595121951219525</v>
      </c>
      <c r="F1518" s="10">
        <f>Table1[[#This Row],[Life expectancy at birth, total (years) '[SP.DYN.LE00.IN']]]/Table1[[#This Row],[Current health expenditure per capita (current US$) '[SH.XPD.CHEX.PC.CD']]]</f>
        <v>2.8586887476083747E-2</v>
      </c>
      <c r="G1518" s="4">
        <f>Table1[[#This Row],[Life expectancy at birth, total (years) '[SP.DYN.LE00.IN']]]/Table1[[#This Row],[Current health expenditure per capita (current US$) '[SH.XPD.CHEX.PC.CD']]]*1000</f>
        <v>28.586887476083746</v>
      </c>
    </row>
    <row r="1519" spans="1:7" x14ac:dyDescent="0.25">
      <c r="A1519" s="5" t="s">
        <v>107</v>
      </c>
      <c r="B1519" s="6" t="s">
        <v>132</v>
      </c>
      <c r="C1519" s="5">
        <v>2020</v>
      </c>
      <c r="D1519" s="7">
        <v>3541.36450195</v>
      </c>
      <c r="E1519" s="11">
        <v>83.543902439024393</v>
      </c>
      <c r="F1519" s="10">
        <f>Table1[[#This Row],[Life expectancy at birth, total (years) '[SP.DYN.LE00.IN']]]/Table1[[#This Row],[Current health expenditure per capita (current US$) '[SH.XPD.CHEX.PC.CD']]]</f>
        <v>2.3590879276341698E-2</v>
      </c>
      <c r="G1519" s="4">
        <f>Table1[[#This Row],[Life expectancy at birth, total (years) '[SP.DYN.LE00.IN']]]/Table1[[#This Row],[Current health expenditure per capita (current US$) '[SH.XPD.CHEX.PC.CD']]]*1000</f>
        <v>23.590879276341699</v>
      </c>
    </row>
    <row r="1520" spans="1:7" x14ac:dyDescent="0.25">
      <c r="A1520" s="5" t="s">
        <v>107</v>
      </c>
      <c r="B1520" s="6" t="s">
        <v>132</v>
      </c>
      <c r="C1520" s="5">
        <v>2021</v>
      </c>
      <c r="D1520" s="7">
        <v>4050.8105468799999</v>
      </c>
      <c r="E1520" s="11">
        <v>83.092682926829283</v>
      </c>
      <c r="F1520" s="10">
        <f>Table1[[#This Row],[Life expectancy at birth, total (years) '[SP.DYN.LE00.IN']]]/Table1[[#This Row],[Current health expenditure per capita (current US$) '[SH.XPD.CHEX.PC.CD']]]</f>
        <v>2.0512606542616173E-2</v>
      </c>
      <c r="G1520" s="4">
        <f>Table1[[#This Row],[Life expectancy at birth, total (years) '[SP.DYN.LE00.IN']]]/Table1[[#This Row],[Current health expenditure per capita (current US$) '[SH.XPD.CHEX.PC.CD']]]*1000</f>
        <v>20.512606542616172</v>
      </c>
    </row>
    <row r="1521" spans="1:7" x14ac:dyDescent="0.25">
      <c r="A1521" s="5" t="s">
        <v>107</v>
      </c>
      <c r="B1521" s="6" t="s">
        <v>132</v>
      </c>
      <c r="C1521" s="5">
        <v>2022</v>
      </c>
      <c r="D1521" s="7">
        <v>3902.1442871099998</v>
      </c>
      <c r="E1521" s="11">
        <v>82.895121951219522</v>
      </c>
      <c r="F1521" s="10">
        <f>Table1[[#This Row],[Life expectancy at birth, total (years) '[SP.DYN.LE00.IN']]]/Table1[[#This Row],[Current health expenditure per capita (current US$) '[SH.XPD.CHEX.PC.CD']]]</f>
        <v>2.1243479444122037E-2</v>
      </c>
      <c r="G1521" s="4">
        <f>Table1[[#This Row],[Life expectancy at birth, total (years) '[SP.DYN.LE00.IN']]]/Table1[[#This Row],[Current health expenditure per capita (current US$) '[SH.XPD.CHEX.PC.CD']]]*1000</f>
        <v>21.243479444122038</v>
      </c>
    </row>
    <row r="1522" spans="1:7" x14ac:dyDescent="0.25">
      <c r="A1522" s="5" t="s">
        <v>107</v>
      </c>
      <c r="B1522" s="6" t="s">
        <v>132</v>
      </c>
      <c r="C1522" s="5">
        <v>2023</v>
      </c>
      <c r="D1522" s="7">
        <v>3921.6025390599998</v>
      </c>
      <c r="E1522" s="11">
        <v>82.895121951219522</v>
      </c>
      <c r="F1522" s="10">
        <f>Table1[[#This Row],[Life expectancy at birth, total (years) '[SP.DYN.LE00.IN']]]/Table1[[#This Row],[Current health expenditure per capita (current US$) '[SH.XPD.CHEX.PC.CD']]]</f>
        <v>2.113807330691124E-2</v>
      </c>
      <c r="G1522" s="4">
        <f>Table1[[#This Row],[Life expectancy at birth, total (years) '[SP.DYN.LE00.IN']]]/Table1[[#This Row],[Current health expenditure per capita (current US$) '[SH.XPD.CHEX.PC.CD']]]*1000</f>
        <v>21.138073306911238</v>
      </c>
    </row>
    <row r="1523" spans="1:7" hidden="1" x14ac:dyDescent="0.25">
      <c r="B1523" s="1"/>
      <c r="D1523" s="3"/>
      <c r="E1523"/>
      <c r="F1523" t="e">
        <f>Table1[[#This Row],[Life expectancy at birth, total (years) '[SP.DYN.LE00.IN']]]/Table1[[#This Row],[Current health expenditure per capita (current US$) '[SH.XPD.CHEX.PC.CD']]]</f>
        <v>#DIV/0!</v>
      </c>
      <c r="G1523" s="2" t="e">
        <f>Table1[[#This Row],[Life expectancy at birth, total (years) '[SP.DYN.LE00.IN']]]/Table1[[#This Row],[Current health expenditure per capita (current US$) '[SH.XPD.CHEX.PC.CD']]]*1000</f>
        <v>#DIV/0!</v>
      </c>
    </row>
    <row r="1524" spans="1:7" x14ac:dyDescent="0.25">
      <c r="A1524" s="5" t="s">
        <v>84</v>
      </c>
      <c r="B1524" s="6" t="s">
        <v>338</v>
      </c>
      <c r="C1524" s="5">
        <v>2015</v>
      </c>
      <c r="D1524" s="7">
        <v>1108.8781738299999</v>
      </c>
      <c r="E1524" s="11">
        <v>76.563414634146341</v>
      </c>
      <c r="F1524" s="10">
        <f>Table1[[#This Row],[Life expectancy at birth, total (years) '[SP.DYN.LE00.IN']]]/Table1[[#This Row],[Current health expenditure per capita (current US$) '[SH.XPD.CHEX.PC.CD']]]</f>
        <v>6.9045830679217726E-2</v>
      </c>
      <c r="G1524" s="4">
        <f>Table1[[#This Row],[Life expectancy at birth, total (years) '[SP.DYN.LE00.IN']]]/Table1[[#This Row],[Current health expenditure per capita (current US$) '[SH.XPD.CHEX.PC.CD']]]*1000</f>
        <v>69.04583067921773</v>
      </c>
    </row>
    <row r="1525" spans="1:7" x14ac:dyDescent="0.25">
      <c r="A1525" s="5" t="s">
        <v>84</v>
      </c>
      <c r="B1525" s="6" t="s">
        <v>338</v>
      </c>
      <c r="C1525" s="5">
        <v>2016</v>
      </c>
      <c r="D1525" s="7">
        <v>1175.6270752</v>
      </c>
      <c r="E1525" s="11">
        <v>77.165853658536591</v>
      </c>
      <c r="F1525" s="10">
        <f>Table1[[#This Row],[Life expectancy at birth, total (years) '[SP.DYN.LE00.IN']]]/Table1[[#This Row],[Current health expenditure per capita (current US$) '[SH.XPD.CHEX.PC.CD']]]</f>
        <v>6.56380371687246E-2</v>
      </c>
      <c r="G1525" s="4">
        <f>Table1[[#This Row],[Life expectancy at birth, total (years) '[SP.DYN.LE00.IN']]]/Table1[[#This Row],[Current health expenditure per capita (current US$) '[SH.XPD.CHEX.PC.CD']]]*1000</f>
        <v>65.638037168724594</v>
      </c>
    </row>
    <row r="1526" spans="1:7" x14ac:dyDescent="0.25">
      <c r="A1526" s="5" t="s">
        <v>84</v>
      </c>
      <c r="B1526" s="6" t="s">
        <v>338</v>
      </c>
      <c r="C1526" s="5">
        <v>2017</v>
      </c>
      <c r="D1526" s="7">
        <v>1189.0798339800001</v>
      </c>
      <c r="E1526" s="11">
        <v>77.165853658536591</v>
      </c>
      <c r="F1526" s="10">
        <f>Table1[[#This Row],[Life expectancy at birth, total (years) '[SP.DYN.LE00.IN']]]/Table1[[#This Row],[Current health expenditure per capita (current US$) '[SH.XPD.CHEX.PC.CD']]]</f>
        <v>6.4895435490023204E-2</v>
      </c>
      <c r="G1526" s="4">
        <f>Table1[[#This Row],[Life expectancy at birth, total (years) '[SP.DYN.LE00.IN']]]/Table1[[#This Row],[Current health expenditure per capita (current US$) '[SH.XPD.CHEX.PC.CD']]]*1000</f>
        <v>64.895435490023203</v>
      </c>
    </row>
    <row r="1527" spans="1:7" x14ac:dyDescent="0.25">
      <c r="A1527" s="5" t="s">
        <v>84</v>
      </c>
      <c r="B1527" s="6" t="s">
        <v>338</v>
      </c>
      <c r="C1527" s="5">
        <v>2018</v>
      </c>
      <c r="D1527" s="7">
        <v>1299.9112548799999</v>
      </c>
      <c r="E1527" s="11">
        <v>77.265853658536599</v>
      </c>
      <c r="F1527" s="10">
        <f>Table1[[#This Row],[Life expectancy at birth, total (years) '[SP.DYN.LE00.IN']]]/Table1[[#This Row],[Current health expenditure per capita (current US$) '[SH.XPD.CHEX.PC.CD']]]</f>
        <v>5.9439329699218064E-2</v>
      </c>
      <c r="G1527" s="4">
        <f>Table1[[#This Row],[Life expectancy at birth, total (years) '[SP.DYN.LE00.IN']]]/Table1[[#This Row],[Current health expenditure per capita (current US$) '[SH.XPD.CHEX.PC.CD']]]*1000</f>
        <v>59.439329699218064</v>
      </c>
    </row>
    <row r="1528" spans="1:7" x14ac:dyDescent="0.25">
      <c r="A1528" s="5" t="s">
        <v>84</v>
      </c>
      <c r="B1528" s="6" t="s">
        <v>338</v>
      </c>
      <c r="C1528" s="5">
        <v>2019</v>
      </c>
      <c r="D1528" s="7">
        <v>1342.07580566</v>
      </c>
      <c r="E1528" s="11">
        <v>77.665853658536591</v>
      </c>
      <c r="F1528" s="10">
        <f>Table1[[#This Row],[Life expectancy at birth, total (years) '[SP.DYN.LE00.IN']]]/Table1[[#This Row],[Current health expenditure per capita (current US$) '[SH.XPD.CHEX.PC.CD']]]</f>
        <v>5.7869945446444006E-2</v>
      </c>
      <c r="G1528" s="4">
        <f>Table1[[#This Row],[Life expectancy at birth, total (years) '[SP.DYN.LE00.IN']]]/Table1[[#This Row],[Current health expenditure per capita (current US$) '[SH.XPD.CHEX.PC.CD']]]*1000</f>
        <v>57.869945446444007</v>
      </c>
    </row>
    <row r="1529" spans="1:7" x14ac:dyDescent="0.25">
      <c r="A1529" s="5" t="s">
        <v>84</v>
      </c>
      <c r="B1529" s="6" t="s">
        <v>338</v>
      </c>
      <c r="C1529" s="5">
        <v>2020</v>
      </c>
      <c r="D1529" s="7">
        <v>1393.62438965</v>
      </c>
      <c r="E1529" s="11">
        <v>76.865853658536579</v>
      </c>
      <c r="F1529" s="10">
        <f>Table1[[#This Row],[Life expectancy at birth, total (years) '[SP.DYN.LE00.IN']]]/Table1[[#This Row],[Current health expenditure per capita (current US$) '[SH.XPD.CHEX.PC.CD']]]</f>
        <v>5.5155359097755853E-2</v>
      </c>
      <c r="G1529" s="4">
        <f>Table1[[#This Row],[Life expectancy at birth, total (years) '[SP.DYN.LE00.IN']]]/Table1[[#This Row],[Current health expenditure per capita (current US$) '[SH.XPD.CHEX.PC.CD']]]*1000</f>
        <v>55.155359097755856</v>
      </c>
    </row>
    <row r="1530" spans="1:7" x14ac:dyDescent="0.25">
      <c r="A1530" s="5" t="s">
        <v>84</v>
      </c>
      <c r="B1530" s="6" t="s">
        <v>338</v>
      </c>
      <c r="C1530" s="5">
        <v>2021</v>
      </c>
      <c r="D1530" s="7">
        <v>1684.5155029299999</v>
      </c>
      <c r="E1530" s="11">
        <v>74.614634146341473</v>
      </c>
      <c r="F1530" s="10">
        <f>Table1[[#This Row],[Life expectancy at birth, total (years) '[SP.DYN.LE00.IN']]]/Table1[[#This Row],[Current health expenditure per capita (current US$) '[SH.XPD.CHEX.PC.CD']]]</f>
        <v>4.4294418197136705E-2</v>
      </c>
      <c r="G1530" s="4">
        <f>Table1[[#This Row],[Life expectancy at birth, total (years) '[SP.DYN.LE00.IN']]]/Table1[[#This Row],[Current health expenditure per capita (current US$) '[SH.XPD.CHEX.PC.CD']]]*1000</f>
        <v>44.294418197136707</v>
      </c>
    </row>
    <row r="1531" spans="1:7" x14ac:dyDescent="0.25">
      <c r="A1531" s="5" t="s">
        <v>84</v>
      </c>
      <c r="B1531" s="6" t="s">
        <v>338</v>
      </c>
      <c r="C1531" s="5">
        <v>2022</v>
      </c>
      <c r="D1531" s="7">
        <v>1642.3920898399999</v>
      </c>
      <c r="E1531" s="11">
        <v>76.965853658536588</v>
      </c>
      <c r="F1531" s="10">
        <f>Table1[[#This Row],[Life expectancy at birth, total (years) '[SP.DYN.LE00.IN']]]/Table1[[#This Row],[Current health expenditure per capita (current US$) '[SH.XPD.CHEX.PC.CD']]]</f>
        <v>4.6862045996601528E-2</v>
      </c>
      <c r="G1531" s="4">
        <f>Table1[[#This Row],[Life expectancy at birth, total (years) '[SP.DYN.LE00.IN']]]/Table1[[#This Row],[Current health expenditure per capita (current US$) '[SH.XPD.CHEX.PC.CD']]]*1000</f>
        <v>46.86204599660153</v>
      </c>
    </row>
    <row r="1532" spans="1:7" x14ac:dyDescent="0.25">
      <c r="A1532" s="5" t="s">
        <v>84</v>
      </c>
      <c r="B1532" s="6" t="s">
        <v>338</v>
      </c>
      <c r="C1532" s="5">
        <v>2023</v>
      </c>
      <c r="D1532" s="7">
        <v>1813.4661865200001</v>
      </c>
      <c r="E1532" s="11">
        <v>78.01707317073172</v>
      </c>
      <c r="F1532" s="10">
        <f>Table1[[#This Row],[Life expectancy at birth, total (years) '[SP.DYN.LE00.IN']]]/Table1[[#This Row],[Current health expenditure per capita (current US$) '[SH.XPD.CHEX.PC.CD']]]</f>
        <v>4.3020969318675134E-2</v>
      </c>
      <c r="G1532" s="4">
        <f>Table1[[#This Row],[Life expectancy at birth, total (years) '[SP.DYN.LE00.IN']]]/Table1[[#This Row],[Current health expenditure per capita (current US$) '[SH.XPD.CHEX.PC.CD']]]*1000</f>
        <v>43.020969318675135</v>
      </c>
    </row>
    <row r="1533" spans="1:7" hidden="1" x14ac:dyDescent="0.25">
      <c r="B1533" s="1"/>
      <c r="D1533" s="3"/>
      <c r="E1533"/>
      <c r="F1533" t="e">
        <f>Table1[[#This Row],[Life expectancy at birth, total (years) '[SP.DYN.LE00.IN']]]/Table1[[#This Row],[Current health expenditure per capita (current US$) '[SH.XPD.CHEX.PC.CD']]]</f>
        <v>#DIV/0!</v>
      </c>
      <c r="G1533" s="2" t="e">
        <f>Table1[[#This Row],[Life expectancy at birth, total (years) '[SP.DYN.LE00.IN']]]/Table1[[#This Row],[Current health expenditure per capita (current US$) '[SH.XPD.CHEX.PC.CD']]]*1000</f>
        <v>#DIV/0!</v>
      </c>
    </row>
    <row r="1534" spans="1:7" x14ac:dyDescent="0.25">
      <c r="A1534" s="5" t="s">
        <v>16</v>
      </c>
      <c r="B1534" s="6" t="s">
        <v>12</v>
      </c>
      <c r="C1534" s="5">
        <v>2015</v>
      </c>
      <c r="D1534" s="7">
        <v>1775.8607177700001</v>
      </c>
      <c r="E1534" s="11">
        <v>80.775609756097566</v>
      </c>
      <c r="F1534" s="10">
        <f>Table1[[#This Row],[Life expectancy at birth, total (years) '[SP.DYN.LE00.IN']]]/Table1[[#This Row],[Current health expenditure per capita (current US$) '[SH.XPD.CHEX.PC.CD']]]</f>
        <v>4.5485329422416558E-2</v>
      </c>
      <c r="G1534" s="4">
        <f>Table1[[#This Row],[Life expectancy at birth, total (years) '[SP.DYN.LE00.IN']]]/Table1[[#This Row],[Current health expenditure per capita (current US$) '[SH.XPD.CHEX.PC.CD']]]*1000</f>
        <v>45.485329422416555</v>
      </c>
    </row>
    <row r="1535" spans="1:7" x14ac:dyDescent="0.25">
      <c r="A1535" s="5" t="s">
        <v>16</v>
      </c>
      <c r="B1535" s="6" t="s">
        <v>12</v>
      </c>
      <c r="C1535" s="5">
        <v>2016</v>
      </c>
      <c r="D1535" s="7">
        <v>1838.6540527300001</v>
      </c>
      <c r="E1535" s="11">
        <v>81.175609756097572</v>
      </c>
      <c r="F1535" s="10">
        <f>Table1[[#This Row],[Life expectancy at birth, total (years) '[SP.DYN.LE00.IN']]]/Table1[[#This Row],[Current health expenditure per capita (current US$) '[SH.XPD.CHEX.PC.CD']]]</f>
        <v>4.414947425023729E-2</v>
      </c>
      <c r="G1535" s="4">
        <f>Table1[[#This Row],[Life expectancy at birth, total (years) '[SP.DYN.LE00.IN']]]/Table1[[#This Row],[Current health expenditure per capita (current US$) '[SH.XPD.CHEX.PC.CD']]]*1000</f>
        <v>44.14947425023729</v>
      </c>
    </row>
    <row r="1536" spans="1:7" x14ac:dyDescent="0.25">
      <c r="A1536" s="5" t="s">
        <v>16</v>
      </c>
      <c r="B1536" s="6" t="s">
        <v>12</v>
      </c>
      <c r="C1536" s="5">
        <v>2017</v>
      </c>
      <c r="D1536" s="7">
        <v>1925.0346679700001</v>
      </c>
      <c r="E1536" s="11">
        <v>81.029268292682943</v>
      </c>
      <c r="F1536" s="10">
        <f>Table1[[#This Row],[Life expectancy at birth, total (years) '[SP.DYN.LE00.IN']]]/Table1[[#This Row],[Current health expenditure per capita (current US$) '[SH.XPD.CHEX.PC.CD']]]</f>
        <v>4.2092368330244385E-2</v>
      </c>
      <c r="G1536" s="4">
        <f>Table1[[#This Row],[Life expectancy at birth, total (years) '[SP.DYN.LE00.IN']]]/Table1[[#This Row],[Current health expenditure per capita (current US$) '[SH.XPD.CHEX.PC.CD']]]*1000</f>
        <v>42.092368330244383</v>
      </c>
    </row>
    <row r="1537" spans="1:7" x14ac:dyDescent="0.25">
      <c r="A1537" s="5" t="s">
        <v>16</v>
      </c>
      <c r="B1537" s="6" t="s">
        <v>12</v>
      </c>
      <c r="C1537" s="5">
        <v>2018</v>
      </c>
      <c r="D1537" s="7">
        <v>2169.5788574200001</v>
      </c>
      <c r="E1537" s="11">
        <v>81.378048780487802</v>
      </c>
      <c r="F1537" s="10">
        <f>Table1[[#This Row],[Life expectancy at birth, total (years) '[SP.DYN.LE00.IN']]]/Table1[[#This Row],[Current health expenditure per capita (current US$) '[SH.XPD.CHEX.PC.CD']]]</f>
        <v>3.750868446296541E-2</v>
      </c>
      <c r="G1537" s="4">
        <f>Table1[[#This Row],[Life expectancy at birth, total (years) '[SP.DYN.LE00.IN']]]/Table1[[#This Row],[Current health expenditure per capita (current US$) '[SH.XPD.CHEX.PC.CD']]]*1000</f>
        <v>37.508684462965412</v>
      </c>
    </row>
    <row r="1538" spans="1:7" x14ac:dyDescent="0.25">
      <c r="A1538" s="5" t="s">
        <v>16</v>
      </c>
      <c r="B1538" s="6" t="s">
        <v>12</v>
      </c>
      <c r="C1538" s="5">
        <v>2019</v>
      </c>
      <c r="D1538" s="7">
        <v>2219.0979003900002</v>
      </c>
      <c r="E1538" s="11">
        <v>81.529268292682929</v>
      </c>
      <c r="F1538" s="10">
        <f>Table1[[#This Row],[Life expectancy at birth, total (years) '[SP.DYN.LE00.IN']]]/Table1[[#This Row],[Current health expenditure per capita (current US$) '[SH.XPD.CHEX.PC.CD']]]</f>
        <v>3.6739824898376225E-2</v>
      </c>
      <c r="G1538" s="4">
        <f>Table1[[#This Row],[Life expectancy at birth, total (years) '[SP.DYN.LE00.IN']]]/Table1[[#This Row],[Current health expenditure per capita (current US$) '[SH.XPD.CHEX.PC.CD']]]*1000</f>
        <v>36.739824898376227</v>
      </c>
    </row>
    <row r="1539" spans="1:7" x14ac:dyDescent="0.25">
      <c r="A1539" s="5" t="s">
        <v>16</v>
      </c>
      <c r="B1539" s="6" t="s">
        <v>12</v>
      </c>
      <c r="C1539" s="5">
        <v>2020</v>
      </c>
      <c r="D1539" s="7">
        <v>2417.2087402299999</v>
      </c>
      <c r="E1539" s="11">
        <v>80.531707317073185</v>
      </c>
      <c r="F1539" s="10">
        <f>Table1[[#This Row],[Life expectancy at birth, total (years) '[SP.DYN.LE00.IN']]]/Table1[[#This Row],[Current health expenditure per capita (current US$) '[SH.XPD.CHEX.PC.CD']]]</f>
        <v>3.3315992109730047E-2</v>
      </c>
      <c r="G1539" s="4">
        <f>Table1[[#This Row],[Life expectancy at birth, total (years) '[SP.DYN.LE00.IN']]]/Table1[[#This Row],[Current health expenditure per capita (current US$) '[SH.XPD.CHEX.PC.CD']]]*1000</f>
        <v>33.315992109730047</v>
      </c>
    </row>
    <row r="1540" spans="1:7" x14ac:dyDescent="0.25">
      <c r="A1540" s="5" t="s">
        <v>16</v>
      </c>
      <c r="B1540" s="6" t="s">
        <v>12</v>
      </c>
      <c r="C1540" s="5">
        <v>2021</v>
      </c>
      <c r="D1540" s="7">
        <v>2779.5659179700001</v>
      </c>
      <c r="E1540" s="11">
        <v>80.675609756097558</v>
      </c>
      <c r="F1540" s="10">
        <f>Table1[[#This Row],[Life expectancy at birth, total (years) '[SP.DYN.LE00.IN']]]/Table1[[#This Row],[Current health expenditure per capita (current US$) '[SH.XPD.CHEX.PC.CD']]]</f>
        <v>2.9024535534317303E-2</v>
      </c>
      <c r="G1540" s="4">
        <f>Table1[[#This Row],[Life expectancy at birth, total (years) '[SP.DYN.LE00.IN']]]/Table1[[#This Row],[Current health expenditure per capita (current US$) '[SH.XPD.CHEX.PC.CD']]]*1000</f>
        <v>29.024535534317302</v>
      </c>
    </row>
    <row r="1541" spans="1:7" x14ac:dyDescent="0.25">
      <c r="A1541" s="5" t="s">
        <v>16</v>
      </c>
      <c r="B1541" s="6" t="s">
        <v>12</v>
      </c>
      <c r="C1541" s="5">
        <v>2022</v>
      </c>
      <c r="D1541" s="7">
        <v>2737.8493652299999</v>
      </c>
      <c r="E1541" s="11">
        <v>81.282926829268291</v>
      </c>
      <c r="F1541" s="10">
        <f>Table1[[#This Row],[Life expectancy at birth, total (years) '[SP.DYN.LE00.IN']]]/Table1[[#This Row],[Current health expenditure per capita (current US$) '[SH.XPD.CHEX.PC.CD']]]</f>
        <v>2.9688604443159319E-2</v>
      </c>
      <c r="G1541" s="4">
        <f>Table1[[#This Row],[Life expectancy at birth, total (years) '[SP.DYN.LE00.IN']]]/Table1[[#This Row],[Current health expenditure per capita (current US$) '[SH.XPD.CHEX.PC.CD']]]*1000</f>
        <v>29.688604443159317</v>
      </c>
    </row>
    <row r="1542" spans="1:7" x14ac:dyDescent="0.25">
      <c r="A1542" s="5" t="s">
        <v>16</v>
      </c>
      <c r="B1542" s="6" t="s">
        <v>12</v>
      </c>
      <c r="C1542" s="5">
        <v>2023</v>
      </c>
      <c r="D1542" s="7">
        <v>3037.7644043</v>
      </c>
      <c r="E1542" s="11">
        <v>81.978048780487811</v>
      </c>
      <c r="F1542" s="10">
        <f>Table1[[#This Row],[Life expectancy at birth, total (years) '[SP.DYN.LE00.IN']]]/Table1[[#This Row],[Current health expenditure per capita (current US$) '[SH.XPD.CHEX.PC.CD']]]</f>
        <v>2.6986308966043149E-2</v>
      </c>
      <c r="G1542" s="4">
        <f>Table1[[#This Row],[Life expectancy at birth, total (years) '[SP.DYN.LE00.IN']]]/Table1[[#This Row],[Current health expenditure per capita (current US$) '[SH.XPD.CHEX.PC.CD']]]*1000</f>
        <v>26.986308966043147</v>
      </c>
    </row>
    <row r="1543" spans="1:7" hidden="1" x14ac:dyDescent="0.25">
      <c r="B1543" s="1"/>
      <c r="D1543" s="3"/>
      <c r="E1543"/>
      <c r="F1543" t="e">
        <f>Table1[[#This Row],[Life expectancy at birth, total (years) '[SP.DYN.LE00.IN']]]/Table1[[#This Row],[Current health expenditure per capita (current US$) '[SH.XPD.CHEX.PC.CD']]]</f>
        <v>#DIV/0!</v>
      </c>
      <c r="G1543" s="2" t="e">
        <f>Table1[[#This Row],[Life expectancy at birth, total (years) '[SP.DYN.LE00.IN']]]/Table1[[#This Row],[Current health expenditure per capita (current US$) '[SH.XPD.CHEX.PC.CD']]]*1000</f>
        <v>#DIV/0!</v>
      </c>
    </row>
    <row r="1544" spans="1:7" x14ac:dyDescent="0.25">
      <c r="A1544" s="5" t="s">
        <v>268</v>
      </c>
      <c r="B1544" s="6" t="s">
        <v>368</v>
      </c>
      <c r="C1544" s="5">
        <v>2015</v>
      </c>
      <c r="D1544" s="7">
        <v>91.089897160000007</v>
      </c>
      <c r="E1544" s="11">
        <v>69.322999999999993</v>
      </c>
      <c r="F1544" s="10">
        <f>Table1[[#This Row],[Life expectancy at birth, total (years) '[SP.DYN.LE00.IN']]]/Table1[[#This Row],[Current health expenditure per capita (current US$) '[SH.XPD.CHEX.PC.CD']]]</f>
        <v>0.76103939252707342</v>
      </c>
      <c r="G1544" s="4">
        <f>Table1[[#This Row],[Life expectancy at birth, total (years) '[SP.DYN.LE00.IN']]]/Table1[[#This Row],[Current health expenditure per capita (current US$) '[SH.XPD.CHEX.PC.CD']]]*1000</f>
        <v>761.03939252707346</v>
      </c>
    </row>
    <row r="1545" spans="1:7" x14ac:dyDescent="0.25">
      <c r="A1545" s="5" t="s">
        <v>268</v>
      </c>
      <c r="B1545" s="6" t="s">
        <v>368</v>
      </c>
      <c r="C1545" s="5">
        <v>2016</v>
      </c>
      <c r="D1545" s="7">
        <v>94.329948430000002</v>
      </c>
      <c r="E1545" s="11">
        <v>69.501000000000005</v>
      </c>
      <c r="F1545" s="10">
        <f>Table1[[#This Row],[Life expectancy at birth, total (years) '[SP.DYN.LE00.IN']]]/Table1[[#This Row],[Current health expenditure per capita (current US$) '[SH.XPD.CHEX.PC.CD']]]</f>
        <v>0.73678615494606181</v>
      </c>
      <c r="G1545" s="4">
        <f>Table1[[#This Row],[Life expectancy at birth, total (years) '[SP.DYN.LE00.IN']]]/Table1[[#This Row],[Current health expenditure per capita (current US$) '[SH.XPD.CHEX.PC.CD']]]*1000</f>
        <v>736.78615494606186</v>
      </c>
    </row>
    <row r="1546" spans="1:7" x14ac:dyDescent="0.25">
      <c r="A1546" s="5" t="s">
        <v>268</v>
      </c>
      <c r="B1546" s="6" t="s">
        <v>368</v>
      </c>
      <c r="C1546" s="5">
        <v>2017</v>
      </c>
      <c r="D1546" s="7">
        <v>89.293571470000003</v>
      </c>
      <c r="E1546" s="11">
        <v>69.652000000000001</v>
      </c>
      <c r="F1546" s="10">
        <f>Table1[[#This Row],[Life expectancy at birth, total (years) '[SP.DYN.LE00.IN']]]/Table1[[#This Row],[Current health expenditure per capita (current US$) '[SH.XPD.CHEX.PC.CD']]]</f>
        <v>0.78003375666747754</v>
      </c>
      <c r="G1546" s="4">
        <f>Table1[[#This Row],[Life expectancy at birth, total (years) '[SP.DYN.LE00.IN']]]/Table1[[#This Row],[Current health expenditure per capita (current US$) '[SH.XPD.CHEX.PC.CD']]]*1000</f>
        <v>780.03375666747752</v>
      </c>
    </row>
    <row r="1547" spans="1:7" x14ac:dyDescent="0.25">
      <c r="A1547" s="5" t="s">
        <v>268</v>
      </c>
      <c r="B1547" s="6" t="s">
        <v>368</v>
      </c>
      <c r="C1547" s="5">
        <v>2018</v>
      </c>
      <c r="D1547" s="7">
        <v>88.038505549999996</v>
      </c>
      <c r="E1547" s="11">
        <v>69.805999999999997</v>
      </c>
      <c r="F1547" s="10">
        <f>Table1[[#This Row],[Life expectancy at birth, total (years) '[SP.DYN.LE00.IN']]]/Table1[[#This Row],[Current health expenditure per capita (current US$) '[SH.XPD.CHEX.PC.CD']]]</f>
        <v>0.79290305490652435</v>
      </c>
      <c r="G1547" s="4">
        <f>Table1[[#This Row],[Life expectancy at birth, total (years) '[SP.DYN.LE00.IN']]]/Table1[[#This Row],[Current health expenditure per capita (current US$) '[SH.XPD.CHEX.PC.CD']]]*1000</f>
        <v>792.9030549065244</v>
      </c>
    </row>
    <row r="1548" spans="1:7" x14ac:dyDescent="0.25">
      <c r="A1548" s="5" t="s">
        <v>268</v>
      </c>
      <c r="B1548" s="6" t="s">
        <v>368</v>
      </c>
      <c r="C1548" s="5">
        <v>2019</v>
      </c>
      <c r="D1548" s="7">
        <v>98.670257570000004</v>
      </c>
      <c r="E1548" s="11">
        <v>69.980999999999995</v>
      </c>
      <c r="F1548" s="10">
        <f>Table1[[#This Row],[Life expectancy at birth, total (years) '[SP.DYN.LE00.IN']]]/Table1[[#This Row],[Current health expenditure per capita (current US$) '[SH.XPD.CHEX.PC.CD']]]</f>
        <v>0.70924107956597882</v>
      </c>
      <c r="G1548" s="4">
        <f>Table1[[#This Row],[Life expectancy at birth, total (years) '[SP.DYN.LE00.IN']]]/Table1[[#This Row],[Current health expenditure per capita (current US$) '[SH.XPD.CHEX.PC.CD']]]*1000</f>
        <v>709.24107956597879</v>
      </c>
    </row>
    <row r="1549" spans="1:7" x14ac:dyDescent="0.25">
      <c r="A1549" s="5" t="s">
        <v>268</v>
      </c>
      <c r="B1549" s="6" t="s">
        <v>368</v>
      </c>
      <c r="C1549" s="5">
        <v>2020</v>
      </c>
      <c r="D1549" s="7">
        <v>100.99560547</v>
      </c>
      <c r="E1549" s="11">
        <v>69.257999999999996</v>
      </c>
      <c r="F1549" s="10">
        <f>Table1[[#This Row],[Life expectancy at birth, total (years) '[SP.DYN.LE00.IN']]]/Table1[[#This Row],[Current health expenditure per capita (current US$) '[SH.XPD.CHEX.PC.CD']]]</f>
        <v>0.68575260950906003</v>
      </c>
      <c r="G1549" s="4">
        <f>Table1[[#This Row],[Life expectancy at birth, total (years) '[SP.DYN.LE00.IN']]]/Table1[[#This Row],[Current health expenditure per capita (current US$) '[SH.XPD.CHEX.PC.CD']]]*1000</f>
        <v>685.75260950905999</v>
      </c>
    </row>
    <row r="1550" spans="1:7" x14ac:dyDescent="0.25">
      <c r="A1550" s="5" t="s">
        <v>268</v>
      </c>
      <c r="B1550" s="6" t="s">
        <v>368</v>
      </c>
      <c r="C1550" s="5">
        <v>2021</v>
      </c>
      <c r="D1550" s="7">
        <v>98.802619930000006</v>
      </c>
      <c r="E1550" s="11">
        <v>68.89</v>
      </c>
      <c r="F1550" s="10">
        <f>Table1[[#This Row],[Life expectancy at birth, total (years) '[SP.DYN.LE00.IN']]]/Table1[[#This Row],[Current health expenditure per capita (current US$) '[SH.XPD.CHEX.PC.CD']]]</f>
        <v>0.69724871717781778</v>
      </c>
      <c r="G1550" s="4">
        <f>Table1[[#This Row],[Life expectancy at birth, total (years) '[SP.DYN.LE00.IN']]]/Table1[[#This Row],[Current health expenditure per capita (current US$) '[SH.XPD.CHEX.PC.CD']]]*1000</f>
        <v>697.24871717781775</v>
      </c>
    </row>
    <row r="1551" spans="1:7" x14ac:dyDescent="0.25">
      <c r="A1551" s="5" t="s">
        <v>268</v>
      </c>
      <c r="B1551" s="6" t="s">
        <v>368</v>
      </c>
      <c r="C1551" s="5">
        <v>2022</v>
      </c>
      <c r="D1551" s="7">
        <v>96.748641969999994</v>
      </c>
      <c r="E1551" s="11">
        <v>70.409000000000006</v>
      </c>
      <c r="F1551" s="10">
        <f>Table1[[#This Row],[Life expectancy at birth, total (years) '[SP.DYN.LE00.IN']]]/Table1[[#This Row],[Current health expenditure per capita (current US$) '[SH.XPD.CHEX.PC.CD']]]</f>
        <v>0.72775181714522219</v>
      </c>
      <c r="G1551" s="4">
        <f>Table1[[#This Row],[Life expectancy at birth, total (years) '[SP.DYN.LE00.IN']]]/Table1[[#This Row],[Current health expenditure per capita (current US$) '[SH.XPD.CHEX.PC.CD']]]*1000</f>
        <v>727.75181714522216</v>
      </c>
    </row>
    <row r="1552" spans="1:7" x14ac:dyDescent="0.25">
      <c r="A1552" s="5" t="s">
        <v>268</v>
      </c>
      <c r="B1552" s="6" t="s">
        <v>368</v>
      </c>
      <c r="C1552" s="5">
        <v>2023</v>
      </c>
      <c r="D1552" s="7">
        <v>111.35532379</v>
      </c>
      <c r="E1552" s="11">
        <v>70.528000000000006</v>
      </c>
      <c r="F1552" s="10">
        <f>Table1[[#This Row],[Life expectancy at birth, total (years) '[SP.DYN.LE00.IN']]]/Table1[[#This Row],[Current health expenditure per capita (current US$) '[SH.XPD.CHEX.PC.CD']]]</f>
        <v>0.6333599292747385</v>
      </c>
      <c r="G1552" s="4">
        <f>Table1[[#This Row],[Life expectancy at birth, total (years) '[SP.DYN.LE00.IN']]]/Table1[[#This Row],[Current health expenditure per capita (current US$) '[SH.XPD.CHEX.PC.CD']]]*1000</f>
        <v>633.35992927473853</v>
      </c>
    </row>
    <row r="1553" spans="1:7" hidden="1" x14ac:dyDescent="0.25">
      <c r="B1553" s="1"/>
      <c r="D1553" s="3"/>
      <c r="E1553"/>
      <c r="F1553" t="e">
        <f>Table1[[#This Row],[Life expectancy at birth, total (years) '[SP.DYN.LE00.IN']]]/Table1[[#This Row],[Current health expenditure per capita (current US$) '[SH.XPD.CHEX.PC.CD']]]</f>
        <v>#DIV/0!</v>
      </c>
      <c r="G1553" s="2" t="e">
        <f>Table1[[#This Row],[Life expectancy at birth, total (years) '[SP.DYN.LE00.IN']]]/Table1[[#This Row],[Current health expenditure per capita (current US$) '[SH.XPD.CHEX.PC.CD']]]*1000</f>
        <v>#DIV/0!</v>
      </c>
    </row>
    <row r="1554" spans="1:7" x14ac:dyDescent="0.25">
      <c r="A1554" s="5" t="s">
        <v>36</v>
      </c>
      <c r="B1554" s="6" t="s">
        <v>257</v>
      </c>
      <c r="C1554" s="5">
        <v>2015</v>
      </c>
      <c r="D1554" s="7">
        <v>14.116139410000001</v>
      </c>
      <c r="E1554" s="11">
        <v>55.055999999999997</v>
      </c>
      <c r="F1554" s="10">
        <f>Table1[[#This Row],[Life expectancy at birth, total (years) '[SP.DYN.LE00.IN']]]/Table1[[#This Row],[Current health expenditure per capita (current US$) '[SH.XPD.CHEX.PC.CD']]]</f>
        <v>3.9002165111091087</v>
      </c>
      <c r="G1554" s="4">
        <f>Table1[[#This Row],[Life expectancy at birth, total (years) '[SP.DYN.LE00.IN']]]/Table1[[#This Row],[Current health expenditure per capita (current US$) '[SH.XPD.CHEX.PC.CD']]]*1000</f>
        <v>3900.2165111091085</v>
      </c>
    </row>
    <row r="1555" spans="1:7" x14ac:dyDescent="0.25">
      <c r="A1555" s="5" t="s">
        <v>36</v>
      </c>
      <c r="B1555" s="6" t="s">
        <v>257</v>
      </c>
      <c r="C1555" s="5">
        <v>2016</v>
      </c>
      <c r="D1555" s="7">
        <v>11.766189580000001</v>
      </c>
      <c r="E1555" s="11">
        <v>55.283000000000001</v>
      </c>
      <c r="F1555" s="10">
        <f>Table1[[#This Row],[Life expectancy at birth, total (years) '[SP.DYN.LE00.IN']]]/Table1[[#This Row],[Current health expenditure per capita (current US$) '[SH.XPD.CHEX.PC.CD']]]</f>
        <v>4.6984624566961974</v>
      </c>
      <c r="G1555" s="4">
        <f>Table1[[#This Row],[Life expectancy at birth, total (years) '[SP.DYN.LE00.IN']]]/Table1[[#This Row],[Current health expenditure per capita (current US$) '[SH.XPD.CHEX.PC.CD']]]*1000</f>
        <v>4698.4624566961975</v>
      </c>
    </row>
    <row r="1556" spans="1:7" x14ac:dyDescent="0.25">
      <c r="A1556" s="5" t="s">
        <v>36</v>
      </c>
      <c r="B1556" s="6" t="s">
        <v>257</v>
      </c>
      <c r="C1556" s="5">
        <v>2017</v>
      </c>
      <c r="D1556" s="7">
        <v>13.51753426</v>
      </c>
      <c r="E1556" s="11">
        <v>52.19</v>
      </c>
      <c r="F1556" s="10">
        <f>Table1[[#This Row],[Life expectancy at birth, total (years) '[SP.DYN.LE00.IN']]]/Table1[[#This Row],[Current health expenditure per capita (current US$) '[SH.XPD.CHEX.PC.CD']]]</f>
        <v>3.8609112428467407</v>
      </c>
      <c r="G1556" s="4">
        <f>Table1[[#This Row],[Life expectancy at birth, total (years) '[SP.DYN.LE00.IN']]]/Table1[[#This Row],[Current health expenditure per capita (current US$) '[SH.XPD.CHEX.PC.CD']]]*1000</f>
        <v>3860.9112428467406</v>
      </c>
    </row>
    <row r="1557" spans="1:7" x14ac:dyDescent="0.25">
      <c r="A1557" s="5" t="s">
        <v>36</v>
      </c>
      <c r="B1557" s="6" t="s">
        <v>257</v>
      </c>
      <c r="C1557" s="5">
        <v>2018</v>
      </c>
      <c r="D1557" s="7">
        <v>12.7819252</v>
      </c>
      <c r="E1557" s="11">
        <v>54.767000000000003</v>
      </c>
      <c r="F1557" s="10">
        <f>Table1[[#This Row],[Life expectancy at birth, total (years) '[SP.DYN.LE00.IN']]]/Table1[[#This Row],[Current health expenditure per capita (current US$) '[SH.XPD.CHEX.PC.CD']]]</f>
        <v>4.2847223045867926</v>
      </c>
      <c r="G1557" s="4">
        <f>Table1[[#This Row],[Life expectancy at birth, total (years) '[SP.DYN.LE00.IN']]]/Table1[[#This Row],[Current health expenditure per capita (current US$) '[SH.XPD.CHEX.PC.CD']]]*1000</f>
        <v>4284.7223045867922</v>
      </c>
    </row>
    <row r="1558" spans="1:7" x14ac:dyDescent="0.25">
      <c r="A1558" s="5" t="s">
        <v>36</v>
      </c>
      <c r="B1558" s="6" t="s">
        <v>257</v>
      </c>
      <c r="C1558" s="5">
        <v>2019</v>
      </c>
      <c r="D1558" s="7">
        <v>12.99074364</v>
      </c>
      <c r="E1558" s="11">
        <v>57.249000000000002</v>
      </c>
      <c r="F1558" s="10">
        <f>Table1[[#This Row],[Life expectancy at birth, total (years) '[SP.DYN.LE00.IN']]]/Table1[[#This Row],[Current health expenditure per capita (current US$) '[SH.XPD.CHEX.PC.CD']]]</f>
        <v>4.4069070706409539</v>
      </c>
      <c r="G1558" s="4">
        <f>Table1[[#This Row],[Life expectancy at birth, total (years) '[SP.DYN.LE00.IN']]]/Table1[[#This Row],[Current health expenditure per capita (current US$) '[SH.XPD.CHEX.PC.CD']]]*1000</f>
        <v>4406.9070706409539</v>
      </c>
    </row>
    <row r="1559" spans="1:7" x14ac:dyDescent="0.25">
      <c r="A1559" s="5" t="s">
        <v>36</v>
      </c>
      <c r="B1559" s="6" t="s">
        <v>257</v>
      </c>
      <c r="C1559" s="5">
        <v>2020</v>
      </c>
      <c r="D1559" s="7">
        <v>12.79912567</v>
      </c>
      <c r="E1559" s="11">
        <v>57.094999999999999</v>
      </c>
      <c r="F1559" s="10">
        <f>Table1[[#This Row],[Life expectancy at birth, total (years) '[SP.DYN.LE00.IN']]]/Table1[[#This Row],[Current health expenditure per capita (current US$) '[SH.XPD.CHEX.PC.CD']]]</f>
        <v>4.4608515825284494</v>
      </c>
      <c r="G1559" s="4">
        <f>Table1[[#This Row],[Life expectancy at birth, total (years) '[SP.DYN.LE00.IN']]]/Table1[[#This Row],[Current health expenditure per capita (current US$) '[SH.XPD.CHEX.PC.CD']]]*1000</f>
        <v>4460.8515825284494</v>
      </c>
    </row>
    <row r="1560" spans="1:7" x14ac:dyDescent="0.25">
      <c r="A1560" s="5" t="s">
        <v>36</v>
      </c>
      <c r="B1560" s="6" t="s">
        <v>257</v>
      </c>
      <c r="C1560" s="5">
        <v>2021</v>
      </c>
      <c r="D1560" s="7">
        <v>15.01879692</v>
      </c>
      <c r="E1560" s="11">
        <v>55.703000000000003</v>
      </c>
      <c r="F1560" s="10">
        <f>Table1[[#This Row],[Life expectancy at birth, total (years) '[SP.DYN.LE00.IN']]]/Table1[[#This Row],[Current health expenditure per capita (current US$) '[SH.XPD.CHEX.PC.CD']]]</f>
        <v>3.708885624907964</v>
      </c>
      <c r="G1560" s="4">
        <f>Table1[[#This Row],[Life expectancy at birth, total (years) '[SP.DYN.LE00.IN']]]/Table1[[#This Row],[Current health expenditure per capita (current US$) '[SH.XPD.CHEX.PC.CD']]]*1000</f>
        <v>3708.885624907964</v>
      </c>
    </row>
    <row r="1561" spans="1:7" x14ac:dyDescent="0.25">
      <c r="A1561" s="5" t="s">
        <v>36</v>
      </c>
      <c r="B1561" s="6" t="s">
        <v>257</v>
      </c>
      <c r="C1561" s="5">
        <v>2022</v>
      </c>
      <c r="D1561" s="7">
        <v>16.316848749999998</v>
      </c>
      <c r="E1561" s="11">
        <v>53.930999999999997</v>
      </c>
      <c r="F1561" s="10">
        <f>Table1[[#This Row],[Life expectancy at birth, total (years) '[SP.DYN.LE00.IN']]]/Table1[[#This Row],[Current health expenditure per capita (current US$) '[SH.XPD.CHEX.PC.CD']]]</f>
        <v>3.3052338001233235</v>
      </c>
      <c r="G1561" s="4">
        <f>Table1[[#This Row],[Life expectancy at birth, total (years) '[SP.DYN.LE00.IN']]]/Table1[[#This Row],[Current health expenditure per capita (current US$) '[SH.XPD.CHEX.PC.CD']]]*1000</f>
        <v>3305.2338001233234</v>
      </c>
    </row>
    <row r="1562" spans="1:7" x14ac:dyDescent="0.25">
      <c r="A1562" s="5" t="s">
        <v>36</v>
      </c>
      <c r="B1562" s="6" t="s">
        <v>257</v>
      </c>
      <c r="C1562" s="5">
        <v>2023</v>
      </c>
      <c r="D1562" s="7">
        <v>22.370655060000001</v>
      </c>
      <c r="E1562" s="11">
        <v>58.816000000000003</v>
      </c>
      <c r="F1562" s="10">
        <f>Table1[[#This Row],[Life expectancy at birth, total (years) '[SP.DYN.LE00.IN']]]/Table1[[#This Row],[Current health expenditure per capita (current US$) '[SH.XPD.CHEX.PC.CD']]]</f>
        <v>2.6291585938029298</v>
      </c>
      <c r="G1562" s="4">
        <f>Table1[[#This Row],[Life expectancy at birth, total (years) '[SP.DYN.LE00.IN']]]/Table1[[#This Row],[Current health expenditure per capita (current US$) '[SH.XPD.CHEX.PC.CD']]]*1000</f>
        <v>2629.1585938029298</v>
      </c>
    </row>
    <row r="1563" spans="1:7" hidden="1" x14ac:dyDescent="0.25">
      <c r="B1563" s="1"/>
      <c r="D1563" s="3"/>
      <c r="E1563"/>
      <c r="F1563" t="e">
        <f>Table1[[#This Row],[Life expectancy at birth, total (years) '[SP.DYN.LE00.IN']]]/Table1[[#This Row],[Current health expenditure per capita (current US$) '[SH.XPD.CHEX.PC.CD']]]</f>
        <v>#DIV/0!</v>
      </c>
      <c r="G1563" s="2" t="e">
        <f>Table1[[#This Row],[Life expectancy at birth, total (years) '[SP.DYN.LE00.IN']]]/Table1[[#This Row],[Current health expenditure per capita (current US$) '[SH.XPD.CHEX.PC.CD']]]*1000</f>
        <v>#DIV/0!</v>
      </c>
    </row>
    <row r="1564" spans="1:7" x14ac:dyDescent="0.25">
      <c r="A1564" s="5" t="s">
        <v>82</v>
      </c>
      <c r="B1564" s="6" t="s">
        <v>393</v>
      </c>
      <c r="C1564" s="5">
        <v>2015</v>
      </c>
      <c r="D1564" s="7">
        <v>491.90652466</v>
      </c>
      <c r="E1564" s="11">
        <v>64.052999999999997</v>
      </c>
      <c r="F1564" s="10">
        <f>Table1[[#This Row],[Life expectancy at birth, total (years) '[SP.DYN.LE00.IN']]]/Table1[[#This Row],[Current health expenditure per capita (current US$) '[SH.XPD.CHEX.PC.CD']]]</f>
        <v>0.13021376377203508</v>
      </c>
      <c r="G1564" s="4">
        <f>Table1[[#This Row],[Life expectancy at birth, total (years) '[SP.DYN.LE00.IN']]]/Table1[[#This Row],[Current health expenditure per capita (current US$) '[SH.XPD.CHEX.PC.CD']]]*1000</f>
        <v>130.21376377203509</v>
      </c>
    </row>
    <row r="1565" spans="1:7" x14ac:dyDescent="0.25">
      <c r="A1565" s="5" t="s">
        <v>82</v>
      </c>
      <c r="B1565" s="6" t="s">
        <v>393</v>
      </c>
      <c r="C1565" s="5">
        <v>2016</v>
      </c>
      <c r="D1565" s="7">
        <v>456.56936646000003</v>
      </c>
      <c r="E1565" s="11">
        <v>64.748999999999995</v>
      </c>
      <c r="F1565" s="10">
        <f>Table1[[#This Row],[Life expectancy at birth, total (years) '[SP.DYN.LE00.IN']]]/Table1[[#This Row],[Current health expenditure per capita (current US$) '[SH.XPD.CHEX.PC.CD']]]</f>
        <v>0.14181634764949269</v>
      </c>
      <c r="G1565" s="4">
        <f>Table1[[#This Row],[Life expectancy at birth, total (years) '[SP.DYN.LE00.IN']]]/Table1[[#This Row],[Current health expenditure per capita (current US$) '[SH.XPD.CHEX.PC.CD']]]*1000</f>
        <v>141.81634764949268</v>
      </c>
    </row>
    <row r="1566" spans="1:7" x14ac:dyDescent="0.25">
      <c r="A1566" s="5" t="s">
        <v>82</v>
      </c>
      <c r="B1566" s="6" t="s">
        <v>393</v>
      </c>
      <c r="C1566" s="5">
        <v>2017</v>
      </c>
      <c r="D1566" s="7">
        <v>527.52026366999996</v>
      </c>
      <c r="E1566" s="11">
        <v>65.421999999999997</v>
      </c>
      <c r="F1566" s="10">
        <f>Table1[[#This Row],[Life expectancy at birth, total (years) '[SP.DYN.LE00.IN']]]/Table1[[#This Row],[Current health expenditure per capita (current US$) '[SH.XPD.CHEX.PC.CD']]]</f>
        <v>0.12401798472129581</v>
      </c>
      <c r="G1566" s="4">
        <f>Table1[[#This Row],[Life expectancy at birth, total (years) '[SP.DYN.LE00.IN']]]/Table1[[#This Row],[Current health expenditure per capita (current US$) '[SH.XPD.CHEX.PC.CD']]]*1000</f>
        <v>124.01798472129582</v>
      </c>
    </row>
    <row r="1567" spans="1:7" x14ac:dyDescent="0.25">
      <c r="A1567" s="5" t="s">
        <v>82</v>
      </c>
      <c r="B1567" s="6" t="s">
        <v>393</v>
      </c>
      <c r="C1567" s="5">
        <v>2018</v>
      </c>
      <c r="D1567" s="7">
        <v>558.80145263999998</v>
      </c>
      <c r="E1567" s="11">
        <v>65.725999999999999</v>
      </c>
      <c r="F1567" s="10">
        <f>Table1[[#This Row],[Life expectancy at birth, total (years) '[SP.DYN.LE00.IN']]]/Table1[[#This Row],[Current health expenditure per capita (current US$) '[SH.XPD.CHEX.PC.CD']]]</f>
        <v>0.1176195940248263</v>
      </c>
      <c r="G1567" s="4">
        <f>Table1[[#This Row],[Life expectancy at birth, total (years) '[SP.DYN.LE00.IN']]]/Table1[[#This Row],[Current health expenditure per capita (current US$) '[SH.XPD.CHEX.PC.CD']]]*1000</f>
        <v>117.6195940248263</v>
      </c>
    </row>
    <row r="1568" spans="1:7" x14ac:dyDescent="0.25">
      <c r="A1568" s="5" t="s">
        <v>82</v>
      </c>
      <c r="B1568" s="6" t="s">
        <v>393</v>
      </c>
      <c r="C1568" s="5">
        <v>2019</v>
      </c>
      <c r="D1568" s="7">
        <v>538.80438231999995</v>
      </c>
      <c r="E1568" s="11">
        <v>66.070999999999998</v>
      </c>
      <c r="F1568" s="10">
        <f>Table1[[#This Row],[Life expectancy at birth, total (years) '[SP.DYN.LE00.IN']]]/Table1[[#This Row],[Current health expenditure per capita (current US$) '[SH.XPD.CHEX.PC.CD']]]</f>
        <v>0.12262520901465114</v>
      </c>
      <c r="G1568" s="4">
        <f>Table1[[#This Row],[Life expectancy at birth, total (years) '[SP.DYN.LE00.IN']]]/Table1[[#This Row],[Current health expenditure per capita (current US$) '[SH.XPD.CHEX.PC.CD']]]*1000</f>
        <v>122.62520901465113</v>
      </c>
    </row>
    <row r="1569" spans="1:7" x14ac:dyDescent="0.25">
      <c r="A1569" s="5" t="s">
        <v>82</v>
      </c>
      <c r="B1569" s="6" t="s">
        <v>393</v>
      </c>
      <c r="C1569" s="5">
        <v>2020</v>
      </c>
      <c r="D1569" s="7">
        <v>503.46759033000001</v>
      </c>
      <c r="E1569" s="11">
        <v>65.150000000000006</v>
      </c>
      <c r="F1569" s="10">
        <f>Table1[[#This Row],[Life expectancy at birth, total (years) '[SP.DYN.LE00.IN']]]/Table1[[#This Row],[Current health expenditure per capita (current US$) '[SH.XPD.CHEX.PC.CD']]]</f>
        <v>0.12940256980056483</v>
      </c>
      <c r="G1569" s="4">
        <f>Table1[[#This Row],[Life expectancy at birth, total (years) '[SP.DYN.LE00.IN']]]/Table1[[#This Row],[Current health expenditure per capita (current US$) '[SH.XPD.CHEX.PC.CD']]]*1000</f>
        <v>129.40256980056483</v>
      </c>
    </row>
    <row r="1570" spans="1:7" x14ac:dyDescent="0.25">
      <c r="A1570" s="5" t="s">
        <v>82</v>
      </c>
      <c r="B1570" s="6" t="s">
        <v>393</v>
      </c>
      <c r="C1570" s="5">
        <v>2021</v>
      </c>
      <c r="D1570" s="7">
        <v>592.94653319999998</v>
      </c>
      <c r="E1570" s="11">
        <v>62.01</v>
      </c>
      <c r="F1570" s="10">
        <f>Table1[[#This Row],[Life expectancy at birth, total (years) '[SP.DYN.LE00.IN']]]/Table1[[#This Row],[Current health expenditure per capita (current US$) '[SH.XPD.CHEX.PC.CD']]]</f>
        <v>0.10457941235501603</v>
      </c>
      <c r="G1570" s="4">
        <f>Table1[[#This Row],[Life expectancy at birth, total (years) '[SP.DYN.LE00.IN']]]/Table1[[#This Row],[Current health expenditure per capita (current US$) '[SH.XPD.CHEX.PC.CD']]]*1000</f>
        <v>104.57941235501603</v>
      </c>
    </row>
    <row r="1571" spans="1:7" x14ac:dyDescent="0.25">
      <c r="A1571" s="5" t="s">
        <v>82</v>
      </c>
      <c r="B1571" s="6" t="s">
        <v>393</v>
      </c>
      <c r="C1571" s="5">
        <v>2022</v>
      </c>
      <c r="D1571" s="7">
        <v>570.48028564000003</v>
      </c>
      <c r="E1571" s="11">
        <v>65.453999999999994</v>
      </c>
      <c r="F1571" s="10">
        <f>Table1[[#This Row],[Life expectancy at birth, total (years) '[SP.DYN.LE00.IN']]]/Table1[[#This Row],[Current health expenditure per capita (current US$) '[SH.XPD.CHEX.PC.CD']]]</f>
        <v>0.11473490258575658</v>
      </c>
      <c r="G1571" s="4">
        <f>Table1[[#This Row],[Life expectancy at birth, total (years) '[SP.DYN.LE00.IN']]]/Table1[[#This Row],[Current health expenditure per capita (current US$) '[SH.XPD.CHEX.PC.CD']]]*1000</f>
        <v>114.73490258575659</v>
      </c>
    </row>
    <row r="1572" spans="1:7" x14ac:dyDescent="0.25">
      <c r="A1572" s="5" t="s">
        <v>82</v>
      </c>
      <c r="B1572" s="6" t="s">
        <v>393</v>
      </c>
      <c r="C1572" s="5">
        <v>2023</v>
      </c>
      <c r="D1572" s="7">
        <v>536.58843993999994</v>
      </c>
      <c r="E1572" s="11">
        <v>66.138999999999996</v>
      </c>
      <c r="F1572" s="10">
        <f>Table1[[#This Row],[Life expectancy at birth, total (years) '[SP.DYN.LE00.IN']]]/Table1[[#This Row],[Current health expenditure per capita (current US$) '[SH.XPD.CHEX.PC.CD']]]</f>
        <v>0.12325833931009678</v>
      </c>
      <c r="G1572" s="4">
        <f>Table1[[#This Row],[Life expectancy at birth, total (years) '[SP.DYN.LE00.IN']]]/Table1[[#This Row],[Current health expenditure per capita (current US$) '[SH.XPD.CHEX.PC.CD']]]*1000</f>
        <v>123.25833931009677</v>
      </c>
    </row>
    <row r="1573" spans="1:7" hidden="1" x14ac:dyDescent="0.25">
      <c r="B1573" s="1"/>
      <c r="D1573" s="3"/>
      <c r="E1573"/>
      <c r="F1573" t="e">
        <f>Table1[[#This Row],[Life expectancy at birth, total (years) '[SP.DYN.LE00.IN']]]/Table1[[#This Row],[Current health expenditure per capita (current US$) '[SH.XPD.CHEX.PC.CD']]]</f>
        <v>#DIV/0!</v>
      </c>
      <c r="G1573" s="2" t="e">
        <f>Table1[[#This Row],[Life expectancy at birth, total (years) '[SP.DYN.LE00.IN']]]/Table1[[#This Row],[Current health expenditure per capita (current US$) '[SH.XPD.CHEX.PC.CD']]]*1000</f>
        <v>#DIV/0!</v>
      </c>
    </row>
    <row r="1574" spans="1:7" x14ac:dyDescent="0.25">
      <c r="A1574" s="5" t="s">
        <v>63</v>
      </c>
      <c r="B1574" s="6" t="s">
        <v>195</v>
      </c>
      <c r="C1574" s="5">
        <v>2015</v>
      </c>
      <c r="D1574" s="7">
        <v>1047.3821096221616</v>
      </c>
      <c r="E1574" s="11">
        <v>39.756999999999998</v>
      </c>
      <c r="F1574" s="10">
        <f>Table1[[#This Row],[Life expectancy at birth, total (years) '[SP.DYN.LE00.IN']]]/Table1[[#This Row],[Current health expenditure per capita (current US$) '[SH.XPD.CHEX.PC.CD']]]</f>
        <v>3.7958448626110447E-2</v>
      </c>
      <c r="G1574" s="4">
        <f>Table1[[#This Row],[Life expectancy at birth, total (years) '[SP.DYN.LE00.IN']]]/Table1[[#This Row],[Current health expenditure per capita (current US$) '[SH.XPD.CHEX.PC.CD']]]*1000</f>
        <v>37.958448626110446</v>
      </c>
    </row>
    <row r="1575" spans="1:7" x14ac:dyDescent="0.25">
      <c r="A1575" s="5" t="s">
        <v>63</v>
      </c>
      <c r="B1575" s="6" t="s">
        <v>195</v>
      </c>
      <c r="C1575" s="5">
        <v>2016</v>
      </c>
      <c r="D1575" s="8">
        <v>1066.4781058364538</v>
      </c>
      <c r="E1575" s="11">
        <v>36.72</v>
      </c>
      <c r="F1575" s="10">
        <f>Table1[[#This Row],[Life expectancy at birth, total (years) '[SP.DYN.LE00.IN']]]/Table1[[#This Row],[Current health expenditure per capita (current US$) '[SH.XPD.CHEX.PC.CD']]]</f>
        <v>3.4431086582129115E-2</v>
      </c>
      <c r="G1575" s="4">
        <f>Table1[[#This Row],[Life expectancy at birth, total (years) '[SP.DYN.LE00.IN']]]/Table1[[#This Row],[Current health expenditure per capita (current US$) '[SH.XPD.CHEX.PC.CD']]]*1000</f>
        <v>34.431086582129119</v>
      </c>
    </row>
    <row r="1576" spans="1:7" x14ac:dyDescent="0.25">
      <c r="A1576" s="5" t="s">
        <v>63</v>
      </c>
      <c r="B1576" s="6" t="s">
        <v>195</v>
      </c>
      <c r="C1576" s="5">
        <v>2017</v>
      </c>
      <c r="D1576" s="7">
        <v>28.056909560000001</v>
      </c>
      <c r="E1576" s="11">
        <v>35.350999999999999</v>
      </c>
      <c r="F1576" s="10">
        <f>Table1[[#This Row],[Life expectancy at birth, total (years) '[SP.DYN.LE00.IN']]]/Table1[[#This Row],[Current health expenditure per capita (current US$) '[SH.XPD.CHEX.PC.CD']]]</f>
        <v>1.2599748352327083</v>
      </c>
      <c r="G1576" s="4">
        <f>Table1[[#This Row],[Life expectancy at birth, total (years) '[SP.DYN.LE00.IN']]]/Table1[[#This Row],[Current health expenditure per capita (current US$) '[SH.XPD.CHEX.PC.CD']]]*1000</f>
        <v>1259.9748352327083</v>
      </c>
    </row>
    <row r="1577" spans="1:7" x14ac:dyDescent="0.25">
      <c r="A1577" s="5" t="s">
        <v>63</v>
      </c>
      <c r="B1577" s="6" t="s">
        <v>195</v>
      </c>
      <c r="C1577" s="5">
        <v>2018</v>
      </c>
      <c r="D1577" s="7">
        <v>31.123285289999998</v>
      </c>
      <c r="E1577" s="11">
        <v>51.905000000000001</v>
      </c>
      <c r="F1577" s="10">
        <f>Table1[[#This Row],[Life expectancy at birth, total (years) '[SP.DYN.LE00.IN']]]/Table1[[#This Row],[Current health expenditure per capita (current US$) '[SH.XPD.CHEX.PC.CD']]]</f>
        <v>1.6677223987236729</v>
      </c>
      <c r="G1577" s="4">
        <f>Table1[[#This Row],[Life expectancy at birth, total (years) '[SP.DYN.LE00.IN']]]/Table1[[#This Row],[Current health expenditure per capita (current US$) '[SH.XPD.CHEX.PC.CD']]]*1000</f>
        <v>1667.722398723673</v>
      </c>
    </row>
    <row r="1578" spans="1:7" x14ac:dyDescent="0.25">
      <c r="A1578" s="5" t="s">
        <v>63</v>
      </c>
      <c r="B1578" s="6" t="s">
        <v>195</v>
      </c>
      <c r="C1578" s="5">
        <v>2019</v>
      </c>
      <c r="D1578" s="7">
        <v>35.180217740000003</v>
      </c>
      <c r="E1578" s="11">
        <v>58.128999999999998</v>
      </c>
      <c r="F1578" s="10">
        <f>Table1[[#This Row],[Life expectancy at birth, total (years) '[SP.DYN.LE00.IN']]]/Table1[[#This Row],[Current health expenditure per capita (current US$) '[SH.XPD.CHEX.PC.CD']]]</f>
        <v>1.6523206430842288</v>
      </c>
      <c r="G1578" s="4">
        <f>Table1[[#This Row],[Life expectancy at birth, total (years) '[SP.DYN.LE00.IN']]]/Table1[[#This Row],[Current health expenditure per capita (current US$) '[SH.XPD.CHEX.PC.CD']]]*1000</f>
        <v>1652.3206430842288</v>
      </c>
    </row>
    <row r="1579" spans="1:7" x14ac:dyDescent="0.25">
      <c r="A1579" s="5" t="s">
        <v>63</v>
      </c>
      <c r="B1579" s="6" t="s">
        <v>195</v>
      </c>
      <c r="C1579" s="5">
        <v>2020</v>
      </c>
      <c r="D1579" s="7">
        <v>47.402530669999997</v>
      </c>
      <c r="E1579" s="11">
        <v>57.648000000000003</v>
      </c>
      <c r="F1579" s="10">
        <f>Table1[[#This Row],[Life expectancy at birth, total (years) '[SP.DYN.LE00.IN']]]/Table1[[#This Row],[Current health expenditure per capita (current US$) '[SH.XPD.CHEX.PC.CD']]]</f>
        <v>1.2161376024694845</v>
      </c>
      <c r="G1579" s="4">
        <f>Table1[[#This Row],[Life expectancy at birth, total (years) '[SP.DYN.LE00.IN']]]/Table1[[#This Row],[Current health expenditure per capita (current US$) '[SH.XPD.CHEX.PC.CD']]]*1000</f>
        <v>1216.1376024694846</v>
      </c>
    </row>
    <row r="1580" spans="1:7" x14ac:dyDescent="0.25">
      <c r="A1580" s="5" t="s">
        <v>63</v>
      </c>
      <c r="B1580" s="6" t="s">
        <v>195</v>
      </c>
      <c r="C1580" s="5">
        <v>2021</v>
      </c>
      <c r="D1580" s="7">
        <v>34.788036349999999</v>
      </c>
      <c r="E1580" s="11">
        <v>57.046999999999997</v>
      </c>
      <c r="F1580" s="10">
        <f>Table1[[#This Row],[Life expectancy at birth, total (years) '[SP.DYN.LE00.IN']]]/Table1[[#This Row],[Current health expenditure per capita (current US$) '[SH.XPD.CHEX.PC.CD']]]</f>
        <v>1.6398453602282728</v>
      </c>
      <c r="G1580" s="4">
        <f>Table1[[#This Row],[Life expectancy at birth, total (years) '[SP.DYN.LE00.IN']]]/Table1[[#This Row],[Current health expenditure per capita (current US$) '[SH.XPD.CHEX.PC.CD']]]*1000</f>
        <v>1639.8453602282727</v>
      </c>
    </row>
    <row r="1581" spans="1:7" x14ac:dyDescent="0.25">
      <c r="A1581" s="5" t="s">
        <v>63</v>
      </c>
      <c r="B1581" s="6" t="s">
        <v>195</v>
      </c>
      <c r="C1581" s="5">
        <v>2022</v>
      </c>
      <c r="D1581" s="7">
        <v>48.033527370000002</v>
      </c>
      <c r="E1581" s="11">
        <v>57.203000000000003</v>
      </c>
      <c r="F1581" s="10">
        <f>Table1[[#This Row],[Life expectancy at birth, total (years) '[SP.DYN.LE00.IN']]]/Table1[[#This Row],[Current health expenditure per capita (current US$) '[SH.XPD.CHEX.PC.CD']]]</f>
        <v>1.1908973405048517</v>
      </c>
      <c r="G1581" s="4">
        <f>Table1[[#This Row],[Life expectancy at birth, total (years) '[SP.DYN.LE00.IN']]]/Table1[[#This Row],[Current health expenditure per capita (current US$) '[SH.XPD.CHEX.PC.CD']]]*1000</f>
        <v>1190.8973405048519</v>
      </c>
    </row>
    <row r="1582" spans="1:7" x14ac:dyDescent="0.25">
      <c r="A1582" s="5" t="s">
        <v>63</v>
      </c>
      <c r="B1582" s="6" t="s">
        <v>195</v>
      </c>
      <c r="C1582" s="5">
        <v>2023</v>
      </c>
      <c r="D1582" s="7">
        <v>72.755828859999994</v>
      </c>
      <c r="E1582" s="11">
        <v>57.616999999999997</v>
      </c>
      <c r="F1582" s="10">
        <f>Table1[[#This Row],[Life expectancy at birth, total (years) '[SP.DYN.LE00.IN']]]/Table1[[#This Row],[Current health expenditure per capita (current US$) '[SH.XPD.CHEX.PC.CD']]]</f>
        <v>0.79192280402535442</v>
      </c>
      <c r="G1582" s="4">
        <f>Table1[[#This Row],[Life expectancy at birth, total (years) '[SP.DYN.LE00.IN']]]/Table1[[#This Row],[Current health expenditure per capita (current US$) '[SH.XPD.CHEX.PC.CD']]]*1000</f>
        <v>791.92280402535437</v>
      </c>
    </row>
    <row r="1583" spans="1:7" hidden="1" x14ac:dyDescent="0.25">
      <c r="B1583" s="1"/>
      <c r="D1583" s="3"/>
      <c r="E1583"/>
      <c r="F1583" t="e">
        <f>Table1[[#This Row],[Life expectancy at birth, total (years) '[SP.DYN.LE00.IN']]]/Table1[[#This Row],[Current health expenditure per capita (current US$) '[SH.XPD.CHEX.PC.CD']]]</f>
        <v>#DIV/0!</v>
      </c>
      <c r="G1583" s="2" t="e">
        <f>Table1[[#This Row],[Life expectancy at birth, total (years) '[SP.DYN.LE00.IN']]]/Table1[[#This Row],[Current health expenditure per capita (current US$) '[SH.XPD.CHEX.PC.CD']]]*1000</f>
        <v>#DIV/0!</v>
      </c>
    </row>
    <row r="1584" spans="1:7" x14ac:dyDescent="0.25">
      <c r="A1584" s="5" t="s">
        <v>305</v>
      </c>
      <c r="B1584" s="6" t="s">
        <v>298</v>
      </c>
      <c r="C1584" s="5">
        <v>2015</v>
      </c>
      <c r="D1584" s="7">
        <v>2383.8530273400002</v>
      </c>
      <c r="E1584" s="11">
        <v>82.831707317073182</v>
      </c>
      <c r="F1584" s="10">
        <f>Table1[[#This Row],[Life expectancy at birth, total (years) '[SP.DYN.LE00.IN']]]/Table1[[#This Row],[Current health expenditure per capita (current US$) '[SH.XPD.CHEX.PC.CD']]]</f>
        <v>3.4746985811243643E-2</v>
      </c>
      <c r="G1584" s="4">
        <f>Table1[[#This Row],[Life expectancy at birth, total (years) '[SP.DYN.LE00.IN']]]/Table1[[#This Row],[Current health expenditure per capita (current US$) '[SH.XPD.CHEX.PC.CD']]]*1000</f>
        <v>34.74698581124364</v>
      </c>
    </row>
    <row r="1585" spans="1:7" x14ac:dyDescent="0.25">
      <c r="A1585" s="5" t="s">
        <v>305</v>
      </c>
      <c r="B1585" s="6" t="s">
        <v>298</v>
      </c>
      <c r="C1585" s="5">
        <v>2016</v>
      </c>
      <c r="D1585" s="7">
        <v>2378.1359863299999</v>
      </c>
      <c r="E1585" s="11">
        <v>83.329268292682926</v>
      </c>
      <c r="F1585" s="10">
        <f>Table1[[#This Row],[Life expectancy at birth, total (years) '[SP.DYN.LE00.IN']]]/Table1[[#This Row],[Current health expenditure per capita (current US$) '[SH.XPD.CHEX.PC.CD']]]</f>
        <v>3.5039740692574428E-2</v>
      </c>
      <c r="G1585" s="4">
        <f>Table1[[#This Row],[Life expectancy at birth, total (years) '[SP.DYN.LE00.IN']]]/Table1[[#This Row],[Current health expenditure per capita (current US$) '[SH.XPD.CHEX.PC.CD']]]*1000</f>
        <v>35.039740692574426</v>
      </c>
    </row>
    <row r="1586" spans="1:7" x14ac:dyDescent="0.25">
      <c r="A1586" s="5" t="s">
        <v>305</v>
      </c>
      <c r="B1586" s="6" t="s">
        <v>298</v>
      </c>
      <c r="C1586" s="5">
        <v>2017</v>
      </c>
      <c r="D1586" s="7">
        <v>2564.5583496099998</v>
      </c>
      <c r="E1586" s="11">
        <v>83.282926829268291</v>
      </c>
      <c r="F1586" s="10">
        <f>Table1[[#This Row],[Life expectancy at birth, total (years) '[SP.DYN.LE00.IN']]]/Table1[[#This Row],[Current health expenditure per capita (current US$) '[SH.XPD.CHEX.PC.CD']]]</f>
        <v>3.2474568902646876E-2</v>
      </c>
      <c r="G1586" s="4">
        <f>Table1[[#This Row],[Life expectancy at birth, total (years) '[SP.DYN.LE00.IN']]]/Table1[[#This Row],[Current health expenditure per capita (current US$) '[SH.XPD.CHEX.PC.CD']]]*1000</f>
        <v>32.47456890264688</v>
      </c>
    </row>
    <row r="1587" spans="1:7" x14ac:dyDescent="0.25">
      <c r="A1587" s="5" t="s">
        <v>305</v>
      </c>
      <c r="B1587" s="6" t="s">
        <v>298</v>
      </c>
      <c r="C1587" s="5">
        <v>2018</v>
      </c>
      <c r="D1587" s="7">
        <v>2784.1630859400002</v>
      </c>
      <c r="E1587" s="11">
        <v>83.43170731707319</v>
      </c>
      <c r="F1587" s="10">
        <f>Table1[[#This Row],[Life expectancy at birth, total (years) '[SP.DYN.LE00.IN']]]/Table1[[#This Row],[Current health expenditure per capita (current US$) '[SH.XPD.CHEX.PC.CD']]]</f>
        <v>2.9966530243290202E-2</v>
      </c>
      <c r="G1587" s="4">
        <f>Table1[[#This Row],[Life expectancy at birth, total (years) '[SP.DYN.LE00.IN']]]/Table1[[#This Row],[Current health expenditure per capita (current US$) '[SH.XPD.CHEX.PC.CD']]]*1000</f>
        <v>29.966530243290201</v>
      </c>
    </row>
    <row r="1588" spans="1:7" x14ac:dyDescent="0.25">
      <c r="A1588" s="5" t="s">
        <v>305</v>
      </c>
      <c r="B1588" s="6" t="s">
        <v>298</v>
      </c>
      <c r="C1588" s="5">
        <v>2019</v>
      </c>
      <c r="D1588" s="7">
        <v>2756.62109375</v>
      </c>
      <c r="E1588" s="11">
        <v>83.831707317073182</v>
      </c>
      <c r="F1588" s="10">
        <f>Table1[[#This Row],[Life expectancy at birth, total (years) '[SP.DYN.LE00.IN']]]/Table1[[#This Row],[Current health expenditure per capita (current US$) '[SH.XPD.CHEX.PC.CD']]]</f>
        <v>3.0411037449848355E-2</v>
      </c>
      <c r="G1588" s="4">
        <f>Table1[[#This Row],[Life expectancy at birth, total (years) '[SP.DYN.LE00.IN']]]/Table1[[#This Row],[Current health expenditure per capita (current US$) '[SH.XPD.CHEX.PC.CD']]]*1000</f>
        <v>30.411037449848354</v>
      </c>
    </row>
    <row r="1589" spans="1:7" x14ac:dyDescent="0.25">
      <c r="A1589" s="5" t="s">
        <v>305</v>
      </c>
      <c r="B1589" s="6" t="s">
        <v>298</v>
      </c>
      <c r="C1589" s="5">
        <v>2020</v>
      </c>
      <c r="D1589" s="7">
        <v>2942.4194335900002</v>
      </c>
      <c r="E1589" s="11">
        <v>82.231707317073173</v>
      </c>
      <c r="F1589" s="10">
        <f>Table1[[#This Row],[Life expectancy at birth, total (years) '[SP.DYN.LE00.IN']]]/Table1[[#This Row],[Current health expenditure per capita (current US$) '[SH.XPD.CHEX.PC.CD']]]</f>
        <v>2.794696989094568E-2</v>
      </c>
      <c r="G1589" s="4">
        <f>Table1[[#This Row],[Life expectancy at birth, total (years) '[SP.DYN.LE00.IN']]]/Table1[[#This Row],[Current health expenditure per capita (current US$) '[SH.XPD.CHEX.PC.CD']]]*1000</f>
        <v>27.946969890945681</v>
      </c>
    </row>
    <row r="1590" spans="1:7" x14ac:dyDescent="0.25">
      <c r="A1590" s="5" t="s">
        <v>305</v>
      </c>
      <c r="B1590" s="6" t="s">
        <v>298</v>
      </c>
      <c r="C1590" s="5">
        <v>2021</v>
      </c>
      <c r="D1590" s="7">
        <v>3188.8515625</v>
      </c>
      <c r="E1590" s="11">
        <v>83.178048780487799</v>
      </c>
      <c r="F1590" s="10">
        <f>Table1[[#This Row],[Life expectancy at birth, total (years) '[SP.DYN.LE00.IN']]]/Table1[[#This Row],[Current health expenditure per capita (current US$) '[SH.XPD.CHEX.PC.CD']]]</f>
        <v>2.6084013993827222E-2</v>
      </c>
      <c r="G1590" s="4">
        <f>Table1[[#This Row],[Life expectancy at birth, total (years) '[SP.DYN.LE00.IN']]]/Table1[[#This Row],[Current health expenditure per capita (current US$) '[SH.XPD.CHEX.PC.CD']]]*1000</f>
        <v>26.08401399382722</v>
      </c>
    </row>
    <row r="1591" spans="1:7" x14ac:dyDescent="0.25">
      <c r="A1591" s="5" t="s">
        <v>305</v>
      </c>
      <c r="B1591" s="6" t="s">
        <v>298</v>
      </c>
      <c r="C1591" s="5">
        <v>2022</v>
      </c>
      <c r="D1591" s="7">
        <v>2948.6147460900002</v>
      </c>
      <c r="E1591" s="11">
        <v>83.134146341463421</v>
      </c>
      <c r="F1591" s="10">
        <f>Table1[[#This Row],[Life expectancy at birth, total (years) '[SP.DYN.LE00.IN']]]/Table1[[#This Row],[Current health expenditure per capita (current US$) '[SH.XPD.CHEX.PC.CD']]]</f>
        <v>2.8194305970864166E-2</v>
      </c>
      <c r="G1591" s="4">
        <f>Table1[[#This Row],[Life expectancy at birth, total (years) '[SP.DYN.LE00.IN']]]/Table1[[#This Row],[Current health expenditure per capita (current US$) '[SH.XPD.CHEX.PC.CD']]]*1000</f>
        <v>28.194305970864168</v>
      </c>
    </row>
    <row r="1592" spans="1:7" x14ac:dyDescent="0.25">
      <c r="A1592" s="5" t="s">
        <v>305</v>
      </c>
      <c r="B1592" s="6" t="s">
        <v>298</v>
      </c>
      <c r="C1592" s="5">
        <v>2023</v>
      </c>
      <c r="D1592" s="7">
        <v>3106.6201171900002</v>
      </c>
      <c r="E1592" s="11">
        <v>83.8829268292683</v>
      </c>
      <c r="F1592" s="10">
        <f>Table1[[#This Row],[Life expectancy at birth, total (years) '[SP.DYN.LE00.IN']]]/Table1[[#This Row],[Current health expenditure per capita (current US$) '[SH.XPD.CHEX.PC.CD']]]</f>
        <v>2.7001346693506279E-2</v>
      </c>
      <c r="G1592" s="4">
        <f>Table1[[#This Row],[Life expectancy at birth, total (years) '[SP.DYN.LE00.IN']]]/Table1[[#This Row],[Current health expenditure per capita (current US$) '[SH.XPD.CHEX.PC.CD']]]*1000</f>
        <v>27.001346693506278</v>
      </c>
    </row>
    <row r="1593" spans="1:7" hidden="1" x14ac:dyDescent="0.25">
      <c r="B1593" s="1"/>
      <c r="D1593" s="3"/>
      <c r="E1593"/>
      <c r="F1593" t="e">
        <f>Table1[[#This Row],[Life expectancy at birth, total (years) '[SP.DYN.LE00.IN']]]/Table1[[#This Row],[Current health expenditure per capita (current US$) '[SH.XPD.CHEX.PC.CD']]]</f>
        <v>#DIV/0!</v>
      </c>
      <c r="G1593" s="2" t="e">
        <f>Table1[[#This Row],[Life expectancy at birth, total (years) '[SP.DYN.LE00.IN']]]/Table1[[#This Row],[Current health expenditure per capita (current US$) '[SH.XPD.CHEX.PC.CD']]]*1000</f>
        <v>#DIV/0!</v>
      </c>
    </row>
    <row r="1594" spans="1:7" x14ac:dyDescent="0.25">
      <c r="A1594" s="5" t="s">
        <v>103</v>
      </c>
      <c r="B1594" s="6" t="s">
        <v>307</v>
      </c>
      <c r="C1594" s="5">
        <v>2015</v>
      </c>
      <c r="D1594" s="7">
        <v>144.29077147999999</v>
      </c>
      <c r="E1594" s="11">
        <v>75.989999999999995</v>
      </c>
      <c r="F1594" s="10">
        <f>Table1[[#This Row],[Life expectancy at birth, total (years) '[SP.DYN.LE00.IN']]]/Table1[[#This Row],[Current health expenditure per capita (current US$) '[SH.XPD.CHEX.PC.CD']]]</f>
        <v>0.52664490750562587</v>
      </c>
      <c r="G1594" s="4">
        <f>Table1[[#This Row],[Life expectancy at birth, total (years) '[SP.DYN.LE00.IN']]]/Table1[[#This Row],[Current health expenditure per capita (current US$) '[SH.XPD.CHEX.PC.CD']]]*1000</f>
        <v>526.64490750562584</v>
      </c>
    </row>
    <row r="1595" spans="1:7" x14ac:dyDescent="0.25">
      <c r="A1595" s="5" t="s">
        <v>103</v>
      </c>
      <c r="B1595" s="6" t="s">
        <v>307</v>
      </c>
      <c r="C1595" s="5">
        <v>2016</v>
      </c>
      <c r="D1595" s="7">
        <v>145.32496642999999</v>
      </c>
      <c r="E1595" s="11">
        <v>76.135999999999996</v>
      </c>
      <c r="F1595" s="10">
        <f>Table1[[#This Row],[Life expectancy at birth, total (years) '[SP.DYN.LE00.IN']]]/Table1[[#This Row],[Current health expenditure per capita (current US$) '[SH.XPD.CHEX.PC.CD']]]</f>
        <v>0.52390172088340459</v>
      </c>
      <c r="G1595" s="4">
        <f>Table1[[#This Row],[Life expectancy at birth, total (years) '[SP.DYN.LE00.IN']]]/Table1[[#This Row],[Current health expenditure per capita (current US$) '[SH.XPD.CHEX.PC.CD']]]*1000</f>
        <v>523.90172088340455</v>
      </c>
    </row>
    <row r="1596" spans="1:7" x14ac:dyDescent="0.25">
      <c r="A1596" s="5" t="s">
        <v>103</v>
      </c>
      <c r="B1596" s="6" t="s">
        <v>307</v>
      </c>
      <c r="C1596" s="5">
        <v>2017</v>
      </c>
      <c r="D1596" s="7">
        <v>142.32518005</v>
      </c>
      <c r="E1596" s="11">
        <v>76.239000000000004</v>
      </c>
      <c r="F1596" s="10">
        <f>Table1[[#This Row],[Life expectancy at birth, total (years) '[SP.DYN.LE00.IN']]]/Table1[[#This Row],[Current health expenditure per capita (current US$) '[SH.XPD.CHEX.PC.CD']]]</f>
        <v>0.53566768700532552</v>
      </c>
      <c r="G1596" s="4">
        <f>Table1[[#This Row],[Life expectancy at birth, total (years) '[SP.DYN.LE00.IN']]]/Table1[[#This Row],[Current health expenditure per capita (current US$) '[SH.XPD.CHEX.PC.CD']]]*1000</f>
        <v>535.66768700532555</v>
      </c>
    </row>
    <row r="1597" spans="1:7" x14ac:dyDescent="0.25">
      <c r="A1597" s="5" t="s">
        <v>103</v>
      </c>
      <c r="B1597" s="6" t="s">
        <v>307</v>
      </c>
      <c r="C1597" s="5">
        <v>2018</v>
      </c>
      <c r="D1597" s="7">
        <v>154.64622498</v>
      </c>
      <c r="E1597" s="11">
        <v>76.484999999999999</v>
      </c>
      <c r="F1597" s="10">
        <f>Table1[[#This Row],[Life expectancy at birth, total (years) '[SP.DYN.LE00.IN']]]/Table1[[#This Row],[Current health expenditure per capita (current US$) '[SH.XPD.CHEX.PC.CD']]]</f>
        <v>0.49458045296541581</v>
      </c>
      <c r="G1597" s="4">
        <f>Table1[[#This Row],[Life expectancy at birth, total (years) '[SP.DYN.LE00.IN']]]/Table1[[#This Row],[Current health expenditure per capita (current US$) '[SH.XPD.CHEX.PC.CD']]]*1000</f>
        <v>494.58045296541582</v>
      </c>
    </row>
    <row r="1598" spans="1:7" x14ac:dyDescent="0.25">
      <c r="A1598" s="5" t="s">
        <v>103</v>
      </c>
      <c r="B1598" s="6" t="s">
        <v>307</v>
      </c>
      <c r="C1598" s="5">
        <v>2019</v>
      </c>
      <c r="D1598" s="7">
        <v>147.01193237000001</v>
      </c>
      <c r="E1598" s="11">
        <v>76.697999999999993</v>
      </c>
      <c r="F1598" s="10">
        <f>Table1[[#This Row],[Life expectancy at birth, total (years) '[SP.DYN.LE00.IN']]]/Table1[[#This Row],[Current health expenditure per capita (current US$) '[SH.XPD.CHEX.PC.CD']]]</f>
        <v>0.52171275326798827</v>
      </c>
      <c r="G1598" s="4">
        <f>Table1[[#This Row],[Life expectancy at birth, total (years) '[SP.DYN.LE00.IN']]]/Table1[[#This Row],[Current health expenditure per capita (current US$) '[SH.XPD.CHEX.PC.CD']]]*1000</f>
        <v>521.71275326798832</v>
      </c>
    </row>
    <row r="1599" spans="1:7" x14ac:dyDescent="0.25">
      <c r="A1599" s="5" t="s">
        <v>103</v>
      </c>
      <c r="B1599" s="6" t="s">
        <v>307</v>
      </c>
      <c r="C1599" s="5">
        <v>2020</v>
      </c>
      <c r="D1599" s="7">
        <v>159.71383667000001</v>
      </c>
      <c r="E1599" s="11">
        <v>76.927999999999997</v>
      </c>
      <c r="F1599" s="10">
        <f>Table1[[#This Row],[Life expectancy at birth, total (years) '[SP.DYN.LE00.IN']]]/Table1[[#This Row],[Current health expenditure per capita (current US$) '[SH.XPD.CHEX.PC.CD']]]</f>
        <v>0.48166146154855871</v>
      </c>
      <c r="G1599" s="4">
        <f>Table1[[#This Row],[Life expectancy at birth, total (years) '[SP.DYN.LE00.IN']]]/Table1[[#This Row],[Current health expenditure per capita (current US$) '[SH.XPD.CHEX.PC.CD']]]*1000</f>
        <v>481.66146154855869</v>
      </c>
    </row>
    <row r="1600" spans="1:7" x14ac:dyDescent="0.25">
      <c r="A1600" s="5" t="s">
        <v>103</v>
      </c>
      <c r="B1600" s="6" t="s">
        <v>307</v>
      </c>
      <c r="C1600" s="5">
        <v>2021</v>
      </c>
      <c r="D1600" s="7">
        <v>202.75497437000001</v>
      </c>
      <c r="E1600" s="11">
        <v>76.278000000000006</v>
      </c>
      <c r="F1600" s="10">
        <f>Table1[[#This Row],[Life expectancy at birth, total (years) '[SP.DYN.LE00.IN']]]/Table1[[#This Row],[Current health expenditure per capita (current US$) '[SH.XPD.CHEX.PC.CD']]]</f>
        <v>0.37620778595943655</v>
      </c>
      <c r="G1600" s="4">
        <f>Table1[[#This Row],[Life expectancy at birth, total (years) '[SP.DYN.LE00.IN']]]/Table1[[#This Row],[Current health expenditure per capita (current US$) '[SH.XPD.CHEX.PC.CD']]]*1000</f>
        <v>376.20778595943653</v>
      </c>
    </row>
    <row r="1601" spans="1:7" x14ac:dyDescent="0.25">
      <c r="A1601" s="5" t="s">
        <v>103</v>
      </c>
      <c r="B1601" s="6" t="s">
        <v>307</v>
      </c>
      <c r="C1601" s="5">
        <v>2022</v>
      </c>
      <c r="D1601" s="7">
        <v>130.09327698000001</v>
      </c>
      <c r="E1601" s="11">
        <v>77.3</v>
      </c>
      <c r="F1601" s="10">
        <f>Table1[[#This Row],[Life expectancy at birth, total (years) '[SP.DYN.LE00.IN']]]/Table1[[#This Row],[Current health expenditure per capita (current US$) '[SH.XPD.CHEX.PC.CD']]]</f>
        <v>0.59418904492569413</v>
      </c>
      <c r="G1601" s="4">
        <f>Table1[[#This Row],[Life expectancy at birth, total (years) '[SP.DYN.LE00.IN']]]/Table1[[#This Row],[Current health expenditure per capita (current US$) '[SH.XPD.CHEX.PC.CD']]]*1000</f>
        <v>594.18904492569413</v>
      </c>
    </row>
    <row r="1602" spans="1:7" x14ac:dyDescent="0.25">
      <c r="A1602" s="5" t="s">
        <v>103</v>
      </c>
      <c r="B1602" s="6" t="s">
        <v>307</v>
      </c>
      <c r="C1602" s="5">
        <v>2023</v>
      </c>
      <c r="D1602" s="7">
        <v>134.23654174999999</v>
      </c>
      <c r="E1602" s="11">
        <v>77.483000000000004</v>
      </c>
      <c r="F1602" s="10">
        <f>Table1[[#This Row],[Life expectancy at birth, total (years) '[SP.DYN.LE00.IN']]]/Table1[[#This Row],[Current health expenditure per capita (current US$) '[SH.XPD.CHEX.PC.CD']]]</f>
        <v>0.57721242658577365</v>
      </c>
      <c r="G1602" s="4">
        <f>Table1[[#This Row],[Life expectancy at birth, total (years) '[SP.DYN.LE00.IN']]]/Table1[[#This Row],[Current health expenditure per capita (current US$) '[SH.XPD.CHEX.PC.CD']]]*1000</f>
        <v>577.21242658577364</v>
      </c>
    </row>
    <row r="1603" spans="1:7" hidden="1" x14ac:dyDescent="0.25">
      <c r="B1603" s="1"/>
      <c r="D1603" s="3"/>
      <c r="E1603"/>
      <c r="F1603" t="e">
        <f>Table1[[#This Row],[Life expectancy at birth, total (years) '[SP.DYN.LE00.IN']]]/Table1[[#This Row],[Current health expenditure per capita (current US$) '[SH.XPD.CHEX.PC.CD']]]</f>
        <v>#DIV/0!</v>
      </c>
      <c r="G1603" s="2" t="e">
        <f>Table1[[#This Row],[Life expectancy at birth, total (years) '[SP.DYN.LE00.IN']]]/Table1[[#This Row],[Current health expenditure per capita (current US$) '[SH.XPD.CHEX.PC.CD']]]*1000</f>
        <v>#DIV/0!</v>
      </c>
    </row>
    <row r="1604" spans="1:7" x14ac:dyDescent="0.25">
      <c r="A1604" s="5" t="s">
        <v>330</v>
      </c>
      <c r="B1604" s="6" t="s">
        <v>409</v>
      </c>
      <c r="C1604" s="5">
        <v>2015</v>
      </c>
      <c r="D1604" s="7">
        <v>1042.1506347699999</v>
      </c>
      <c r="E1604" s="11">
        <v>71.210999999999999</v>
      </c>
      <c r="F1604" s="10">
        <f>Table1[[#This Row],[Life expectancy at birth, total (years) '[SP.DYN.LE00.IN']]]/Table1[[#This Row],[Current health expenditure per capita (current US$) '[SH.XPD.CHEX.PC.CD']]]</f>
        <v>6.8330812863455284E-2</v>
      </c>
      <c r="G1604" s="4">
        <f>Table1[[#This Row],[Life expectancy at birth, total (years) '[SP.DYN.LE00.IN']]]/Table1[[#This Row],[Current health expenditure per capita (current US$) '[SH.XPD.CHEX.PC.CD']]]*1000</f>
        <v>68.330812863455279</v>
      </c>
    </row>
    <row r="1605" spans="1:7" x14ac:dyDescent="0.25">
      <c r="A1605" s="5" t="s">
        <v>330</v>
      </c>
      <c r="B1605" s="6" t="s">
        <v>409</v>
      </c>
      <c r="C1605" s="5">
        <v>2016</v>
      </c>
      <c r="D1605" s="7">
        <v>1161.8709716799999</v>
      </c>
      <c r="E1605" s="11">
        <v>71.227000000000004</v>
      </c>
      <c r="F1605" s="10">
        <f>Table1[[#This Row],[Life expectancy at birth, total (years) '[SP.DYN.LE00.IN']]]/Table1[[#This Row],[Current health expenditure per capita (current US$) '[SH.XPD.CHEX.PC.CD']]]</f>
        <v>6.1303709048699077E-2</v>
      </c>
      <c r="G1605" s="4">
        <f>Table1[[#This Row],[Life expectancy at birth, total (years) '[SP.DYN.LE00.IN']]]/Table1[[#This Row],[Current health expenditure per capita (current US$) '[SH.XPD.CHEX.PC.CD']]]*1000</f>
        <v>61.303709048699076</v>
      </c>
    </row>
    <row r="1606" spans="1:7" x14ac:dyDescent="0.25">
      <c r="A1606" s="5" t="s">
        <v>330</v>
      </c>
      <c r="B1606" s="6" t="s">
        <v>409</v>
      </c>
      <c r="C1606" s="5">
        <v>2017</v>
      </c>
      <c r="D1606" s="7">
        <v>1186.4266357399999</v>
      </c>
      <c r="E1606" s="11">
        <v>71.284000000000006</v>
      </c>
      <c r="F1606" s="10">
        <f>Table1[[#This Row],[Life expectancy at birth, total (years) '[SP.DYN.LE00.IN']]]/Table1[[#This Row],[Current health expenditure per capita (current US$) '[SH.XPD.CHEX.PC.CD']]]</f>
        <v>6.0082939688503062E-2</v>
      </c>
      <c r="G1606" s="4">
        <f>Table1[[#This Row],[Life expectancy at birth, total (years) '[SP.DYN.LE00.IN']]]/Table1[[#This Row],[Current health expenditure per capita (current US$) '[SH.XPD.CHEX.PC.CD']]]*1000</f>
        <v>60.08293968850306</v>
      </c>
    </row>
    <row r="1607" spans="1:7" x14ac:dyDescent="0.25">
      <c r="A1607" s="5" t="s">
        <v>330</v>
      </c>
      <c r="B1607" s="6" t="s">
        <v>409</v>
      </c>
      <c r="C1607" s="5">
        <v>2018</v>
      </c>
      <c r="D1607" s="7">
        <v>1121.1397705100001</v>
      </c>
      <c r="E1607" s="11">
        <v>71.335999999999999</v>
      </c>
      <c r="F1607" s="10">
        <f>Table1[[#This Row],[Life expectancy at birth, total (years) '[SP.DYN.LE00.IN']]]/Table1[[#This Row],[Current health expenditure per capita (current US$) '[SH.XPD.CHEX.PC.CD']]]</f>
        <v>6.3628105858335268E-2</v>
      </c>
      <c r="G1607" s="4">
        <f>Table1[[#This Row],[Life expectancy at birth, total (years) '[SP.DYN.LE00.IN']]]/Table1[[#This Row],[Current health expenditure per capita (current US$) '[SH.XPD.CHEX.PC.CD']]]*1000</f>
        <v>63.628105858335267</v>
      </c>
    </row>
    <row r="1608" spans="1:7" x14ac:dyDescent="0.25">
      <c r="A1608" s="5" t="s">
        <v>330</v>
      </c>
      <c r="B1608" s="6" t="s">
        <v>409</v>
      </c>
      <c r="C1608" s="5">
        <v>2019</v>
      </c>
      <c r="D1608" s="7">
        <v>1224.18933105</v>
      </c>
      <c r="E1608" s="11">
        <v>71.540000000000006</v>
      </c>
      <c r="F1608" s="10">
        <f>Table1[[#This Row],[Life expectancy at birth, total (years) '[SP.DYN.LE00.IN']]]/Table1[[#This Row],[Current health expenditure per capita (current US$) '[SH.XPD.CHEX.PC.CD']]]</f>
        <v>5.8438672994020786E-2</v>
      </c>
      <c r="G1608" s="4">
        <f>Table1[[#This Row],[Life expectancy at birth, total (years) '[SP.DYN.LE00.IN']]]/Table1[[#This Row],[Current health expenditure per capita (current US$) '[SH.XPD.CHEX.PC.CD']]]*1000</f>
        <v>58.438672994020784</v>
      </c>
    </row>
    <row r="1609" spans="1:7" x14ac:dyDescent="0.25">
      <c r="A1609" s="5" t="s">
        <v>330</v>
      </c>
      <c r="B1609" s="6" t="s">
        <v>409</v>
      </c>
      <c r="C1609" s="5">
        <v>2020</v>
      </c>
      <c r="D1609" s="7">
        <v>1067.84997559</v>
      </c>
      <c r="E1609" s="11">
        <v>71.180999999999997</v>
      </c>
      <c r="F1609" s="10">
        <f>Table1[[#This Row],[Life expectancy at birth, total (years) '[SP.DYN.LE00.IN']]]/Table1[[#This Row],[Current health expenditure per capita (current US$) '[SH.XPD.CHEX.PC.CD']]]</f>
        <v>6.6658240040387354E-2</v>
      </c>
      <c r="G1609" s="4">
        <f>Table1[[#This Row],[Life expectancy at birth, total (years) '[SP.DYN.LE00.IN']]]/Table1[[#This Row],[Current health expenditure per capita (current US$) '[SH.XPD.CHEX.PC.CD']]]*1000</f>
        <v>66.658240040387355</v>
      </c>
    </row>
    <row r="1610" spans="1:7" x14ac:dyDescent="0.25">
      <c r="A1610" s="5" t="s">
        <v>330</v>
      </c>
      <c r="B1610" s="6" t="s">
        <v>409</v>
      </c>
      <c r="C1610" s="5">
        <v>2021</v>
      </c>
      <c r="D1610" s="7">
        <v>1132.5844726600001</v>
      </c>
      <c r="E1610" s="11">
        <v>69.271000000000001</v>
      </c>
      <c r="F1610" s="10">
        <f>Table1[[#This Row],[Life expectancy at birth, total (years) '[SP.DYN.LE00.IN']]]/Table1[[#This Row],[Current health expenditure per capita (current US$) '[SH.XPD.CHEX.PC.CD']]]</f>
        <v>6.1161883879009379E-2</v>
      </c>
      <c r="G1610" s="4">
        <f>Table1[[#This Row],[Life expectancy at birth, total (years) '[SP.DYN.LE00.IN']]]/Table1[[#This Row],[Current health expenditure per capita (current US$) '[SH.XPD.CHEX.PC.CD']]]*1000</f>
        <v>61.16188387900938</v>
      </c>
    </row>
    <row r="1611" spans="1:7" x14ac:dyDescent="0.25">
      <c r="A1611" s="5" t="s">
        <v>330</v>
      </c>
      <c r="B1611" s="6" t="s">
        <v>409</v>
      </c>
      <c r="C1611" s="5">
        <v>2022</v>
      </c>
      <c r="D1611" s="7">
        <v>1161.22058105</v>
      </c>
      <c r="E1611" s="11">
        <v>70.313000000000002</v>
      </c>
      <c r="F1611" s="10">
        <f>Table1[[#This Row],[Life expectancy at birth, total (years) '[SP.DYN.LE00.IN']]]/Table1[[#This Row],[Current health expenditure per capita (current US$) '[SH.XPD.CHEX.PC.CD']]]</f>
        <v>6.0550941954905339E-2</v>
      </c>
      <c r="G1611" s="4">
        <f>Table1[[#This Row],[Life expectancy at birth, total (years) '[SP.DYN.LE00.IN']]]/Table1[[#This Row],[Current health expenditure per capita (current US$) '[SH.XPD.CHEX.PC.CD']]]*1000</f>
        <v>60.55094195490534</v>
      </c>
    </row>
    <row r="1612" spans="1:7" x14ac:dyDescent="0.25">
      <c r="A1612" s="5" t="s">
        <v>330</v>
      </c>
      <c r="B1612" s="6" t="s">
        <v>409</v>
      </c>
      <c r="C1612" s="5">
        <v>2023</v>
      </c>
      <c r="D1612" s="7">
        <v>1294.8839111299999</v>
      </c>
      <c r="E1612" s="11">
        <v>72.144999999999996</v>
      </c>
      <c r="F1612" s="10">
        <f>Table1[[#This Row],[Life expectancy at birth, total (years) '[SP.DYN.LE00.IN']]]/Table1[[#This Row],[Current health expenditure per capita (current US$) '[SH.XPD.CHEX.PC.CD']]]</f>
        <v>5.571541925873616E-2</v>
      </c>
      <c r="G1612" s="4">
        <f>Table1[[#This Row],[Life expectancy at birth, total (years) '[SP.DYN.LE00.IN']]]/Table1[[#This Row],[Current health expenditure per capita (current US$) '[SH.XPD.CHEX.PC.CD']]]*1000</f>
        <v>55.715419258736162</v>
      </c>
    </row>
    <row r="1613" spans="1:7" hidden="1" x14ac:dyDescent="0.25">
      <c r="B1613" s="1"/>
      <c r="D1613" s="3"/>
      <c r="E1613"/>
      <c r="F1613" t="e">
        <f>Table1[[#This Row],[Life expectancy at birth, total (years) '[SP.DYN.LE00.IN']]]/Table1[[#This Row],[Current health expenditure per capita (current US$) '[SH.XPD.CHEX.PC.CD']]]</f>
        <v>#DIV/0!</v>
      </c>
      <c r="G1613" s="2" t="e">
        <f>Table1[[#This Row],[Life expectancy at birth, total (years) '[SP.DYN.LE00.IN']]]/Table1[[#This Row],[Current health expenditure per capita (current US$) '[SH.XPD.CHEX.PC.CD']]]*1000</f>
        <v>#DIV/0!</v>
      </c>
    </row>
    <row r="1614" spans="1:7" x14ac:dyDescent="0.25">
      <c r="A1614" s="5" t="s">
        <v>1</v>
      </c>
      <c r="B1614" s="6" t="s">
        <v>339</v>
      </c>
      <c r="C1614" s="5">
        <v>2015</v>
      </c>
      <c r="D1614" s="7">
        <v>473.24108887</v>
      </c>
      <c r="E1614" s="11">
        <v>72.932000000000002</v>
      </c>
      <c r="F1614" s="10">
        <f>Table1[[#This Row],[Life expectancy at birth, total (years) '[SP.DYN.LE00.IN']]]/Table1[[#This Row],[Current health expenditure per capita (current US$) '[SH.XPD.CHEX.PC.CD']]]</f>
        <v>0.15411172384491434</v>
      </c>
      <c r="G1614" s="4">
        <f>Table1[[#This Row],[Life expectancy at birth, total (years) '[SP.DYN.LE00.IN']]]/Table1[[#This Row],[Current health expenditure per capita (current US$) '[SH.XPD.CHEX.PC.CD']]]*1000</f>
        <v>154.11172384491434</v>
      </c>
    </row>
    <row r="1615" spans="1:7" x14ac:dyDescent="0.25">
      <c r="A1615" s="5" t="s">
        <v>1</v>
      </c>
      <c r="B1615" s="6" t="s">
        <v>339</v>
      </c>
      <c r="C1615" s="5">
        <v>2016</v>
      </c>
      <c r="D1615" s="7">
        <v>479.87448119999999</v>
      </c>
      <c r="E1615" s="11">
        <v>72.552000000000007</v>
      </c>
      <c r="F1615" s="10">
        <f>Table1[[#This Row],[Life expectancy at birth, total (years) '[SP.DYN.LE00.IN']]]/Table1[[#This Row],[Current health expenditure per capita (current US$) '[SH.XPD.CHEX.PC.CD']]]</f>
        <v>0.15118953568560797</v>
      </c>
      <c r="G1615" s="4">
        <f>Table1[[#This Row],[Life expectancy at birth, total (years) '[SP.DYN.LE00.IN']]]/Table1[[#This Row],[Current health expenditure per capita (current US$) '[SH.XPD.CHEX.PC.CD']]]*1000</f>
        <v>151.18953568560798</v>
      </c>
    </row>
    <row r="1616" spans="1:7" x14ac:dyDescent="0.25">
      <c r="A1616" s="5" t="s">
        <v>1</v>
      </c>
      <c r="B1616" s="6" t="s">
        <v>339</v>
      </c>
      <c r="C1616" s="5">
        <v>2017</v>
      </c>
      <c r="D1616" s="7">
        <v>504.96411132999998</v>
      </c>
      <c r="E1616" s="11">
        <v>72.522000000000006</v>
      </c>
      <c r="F1616" s="10">
        <f>Table1[[#This Row],[Life expectancy at birth, total (years) '[SP.DYN.LE00.IN']]]/Table1[[#This Row],[Current health expenditure per capita (current US$) '[SH.XPD.CHEX.PC.CD']]]</f>
        <v>0.1436181272546041</v>
      </c>
      <c r="G1616" s="4">
        <f>Table1[[#This Row],[Life expectancy at birth, total (years) '[SP.DYN.LE00.IN']]]/Table1[[#This Row],[Current health expenditure per capita (current US$) '[SH.XPD.CHEX.PC.CD']]]*1000</f>
        <v>143.6181272546041</v>
      </c>
    </row>
    <row r="1617" spans="1:7" x14ac:dyDescent="0.25">
      <c r="A1617" s="5" t="s">
        <v>1</v>
      </c>
      <c r="B1617" s="6" t="s">
        <v>339</v>
      </c>
      <c r="C1617" s="5">
        <v>2018</v>
      </c>
      <c r="D1617" s="7">
        <v>497.48629761000001</v>
      </c>
      <c r="E1617" s="11">
        <v>72.655000000000001</v>
      </c>
      <c r="F1617" s="10">
        <f>Table1[[#This Row],[Life expectancy at birth, total (years) '[SP.DYN.LE00.IN']]]/Table1[[#This Row],[Current health expenditure per capita (current US$) '[SH.XPD.CHEX.PC.CD']]]</f>
        <v>0.14604422342694803</v>
      </c>
      <c r="G1617" s="4">
        <f>Table1[[#This Row],[Life expectancy at birth, total (years) '[SP.DYN.LE00.IN']]]/Table1[[#This Row],[Current health expenditure per capita (current US$) '[SH.XPD.CHEX.PC.CD']]]*1000</f>
        <v>146.04422342694804</v>
      </c>
    </row>
    <row r="1618" spans="1:7" x14ac:dyDescent="0.25">
      <c r="A1618" s="5" t="s">
        <v>1</v>
      </c>
      <c r="B1618" s="6" t="s">
        <v>339</v>
      </c>
      <c r="C1618" s="5">
        <v>2019</v>
      </c>
      <c r="D1618" s="7">
        <v>506.03204346000001</v>
      </c>
      <c r="E1618" s="11">
        <v>72.248999999999995</v>
      </c>
      <c r="F1618" s="10">
        <f>Table1[[#This Row],[Life expectancy at birth, total (years) '[SP.DYN.LE00.IN']]]/Table1[[#This Row],[Current health expenditure per capita (current US$) '[SH.XPD.CHEX.PC.CD']]]</f>
        <v>0.14277554343396243</v>
      </c>
      <c r="G1618" s="4">
        <f>Table1[[#This Row],[Life expectancy at birth, total (years) '[SP.DYN.LE00.IN']]]/Table1[[#This Row],[Current health expenditure per capita (current US$) '[SH.XPD.CHEX.PC.CD']]]*1000</f>
        <v>142.77554343396244</v>
      </c>
    </row>
    <row r="1619" spans="1:7" x14ac:dyDescent="0.25">
      <c r="A1619" s="5" t="s">
        <v>1</v>
      </c>
      <c r="B1619" s="6" t="s">
        <v>339</v>
      </c>
      <c r="C1619" s="5">
        <v>2020</v>
      </c>
      <c r="D1619" s="7">
        <v>589.63696288999995</v>
      </c>
      <c r="E1619" s="11">
        <v>72.308000000000007</v>
      </c>
      <c r="F1619" s="10">
        <f>Table1[[#This Row],[Life expectancy at birth, total (years) '[SP.DYN.LE00.IN']]]/Table1[[#This Row],[Current health expenditure per capita (current US$) '[SH.XPD.CHEX.PC.CD']]]</f>
        <v>0.12263138939864844</v>
      </c>
      <c r="G1619" s="4">
        <f>Table1[[#This Row],[Life expectancy at birth, total (years) '[SP.DYN.LE00.IN']]]/Table1[[#This Row],[Current health expenditure per capita (current US$) '[SH.XPD.CHEX.PC.CD']]]*1000</f>
        <v>122.63138939864844</v>
      </c>
    </row>
    <row r="1620" spans="1:7" x14ac:dyDescent="0.25">
      <c r="A1620" s="5" t="s">
        <v>1</v>
      </c>
      <c r="B1620" s="6" t="s">
        <v>339</v>
      </c>
      <c r="C1620" s="5">
        <v>2021</v>
      </c>
      <c r="D1620" s="7">
        <v>654.89184569999998</v>
      </c>
      <c r="E1620" s="11">
        <v>69.119</v>
      </c>
      <c r="F1620" s="10">
        <f>Table1[[#This Row],[Life expectancy at birth, total (years) '[SP.DYN.LE00.IN']]]/Table1[[#This Row],[Current health expenditure per capita (current US$) '[SH.XPD.CHEX.PC.CD']]]</f>
        <v>0.10554261814959716</v>
      </c>
      <c r="G1620" s="4">
        <f>Table1[[#This Row],[Life expectancy at birth, total (years) '[SP.DYN.LE00.IN']]]/Table1[[#This Row],[Current health expenditure per capita (current US$) '[SH.XPD.CHEX.PC.CD']]]*1000</f>
        <v>105.54261814959716</v>
      </c>
    </row>
    <row r="1621" spans="1:7" x14ac:dyDescent="0.25">
      <c r="A1621" s="5" t="s">
        <v>1</v>
      </c>
      <c r="B1621" s="6" t="s">
        <v>339</v>
      </c>
      <c r="C1621" s="5">
        <v>2022</v>
      </c>
      <c r="D1621" s="7">
        <v>622.07244873000002</v>
      </c>
      <c r="E1621" s="11">
        <v>72.67</v>
      </c>
      <c r="F1621" s="10">
        <f>Table1[[#This Row],[Life expectancy at birth, total (years) '[SP.DYN.LE00.IN']]]/Table1[[#This Row],[Current health expenditure per capita (current US$) '[SH.XPD.CHEX.PC.CD']]]</f>
        <v>0.11681919067201958</v>
      </c>
      <c r="G1621" s="4">
        <f>Table1[[#This Row],[Life expectancy at birth, total (years) '[SP.DYN.LE00.IN']]]/Table1[[#This Row],[Current health expenditure per capita (current US$) '[SH.XPD.CHEX.PC.CD']]]*1000</f>
        <v>116.81919067201959</v>
      </c>
    </row>
    <row r="1622" spans="1:7" x14ac:dyDescent="0.25">
      <c r="A1622" s="5" t="s">
        <v>1</v>
      </c>
      <c r="B1622" s="6" t="s">
        <v>339</v>
      </c>
      <c r="C1622" s="5">
        <v>2023</v>
      </c>
      <c r="D1622" s="7">
        <v>641.07495116999996</v>
      </c>
      <c r="E1622" s="11">
        <v>72.697000000000003</v>
      </c>
      <c r="F1622" s="10">
        <f>Table1[[#This Row],[Life expectancy at birth, total (years) '[SP.DYN.LE00.IN']]]/Table1[[#This Row],[Current health expenditure per capita (current US$) '[SH.XPD.CHEX.PC.CD']]]</f>
        <v>0.11339859694615061</v>
      </c>
      <c r="G1622" s="4">
        <f>Table1[[#This Row],[Life expectancy at birth, total (years) '[SP.DYN.LE00.IN']]]/Table1[[#This Row],[Current health expenditure per capita (current US$) '[SH.XPD.CHEX.PC.CD']]]*1000</f>
        <v>113.3985969461506</v>
      </c>
    </row>
    <row r="1623" spans="1:7" hidden="1" x14ac:dyDescent="0.25">
      <c r="B1623" s="1"/>
      <c r="D1623" s="3"/>
      <c r="E1623"/>
      <c r="F1623" t="e">
        <f>Table1[[#This Row],[Life expectancy at birth, total (years) '[SP.DYN.LE00.IN']]]/Table1[[#This Row],[Current health expenditure per capita (current US$) '[SH.XPD.CHEX.PC.CD']]]</f>
        <v>#DIV/0!</v>
      </c>
      <c r="G1623" s="2" t="e">
        <f>Table1[[#This Row],[Life expectancy at birth, total (years) '[SP.DYN.LE00.IN']]]/Table1[[#This Row],[Current health expenditure per capita (current US$) '[SH.XPD.CHEX.PC.CD']]]*1000</f>
        <v>#DIV/0!</v>
      </c>
    </row>
    <row r="1624" spans="1:7" x14ac:dyDescent="0.25">
      <c r="A1624" s="5" t="s">
        <v>329</v>
      </c>
      <c r="B1624" s="6" t="s">
        <v>221</v>
      </c>
      <c r="C1624" s="5">
        <v>2015</v>
      </c>
      <c r="D1624" s="7">
        <v>302.58422852000001</v>
      </c>
      <c r="E1624" s="11">
        <v>70.462999999999994</v>
      </c>
      <c r="F1624" s="10">
        <f>Table1[[#This Row],[Life expectancy at birth, total (years) '[SP.DYN.LE00.IN']]]/Table1[[#This Row],[Current health expenditure per capita (current US$) '[SH.XPD.CHEX.PC.CD']]]</f>
        <v>0.2328706963500663</v>
      </c>
      <c r="G1624" s="4">
        <f>Table1[[#This Row],[Life expectancy at birth, total (years) '[SP.DYN.LE00.IN']]]/Table1[[#This Row],[Current health expenditure per capita (current US$) '[SH.XPD.CHEX.PC.CD']]]*1000</f>
        <v>232.87069635006631</v>
      </c>
    </row>
    <row r="1625" spans="1:7" x14ac:dyDescent="0.25">
      <c r="A1625" s="5" t="s">
        <v>329</v>
      </c>
      <c r="B1625" s="6" t="s">
        <v>221</v>
      </c>
      <c r="C1625" s="5">
        <v>2016</v>
      </c>
      <c r="D1625" s="7">
        <v>313.66229248000002</v>
      </c>
      <c r="E1625" s="11">
        <v>70.7</v>
      </c>
      <c r="F1625" s="10">
        <f>Table1[[#This Row],[Life expectancy at birth, total (years) '[SP.DYN.LE00.IN']]]/Table1[[#This Row],[Current health expenditure per capita (current US$) '[SH.XPD.CHEX.PC.CD']]]</f>
        <v>0.22540165552258096</v>
      </c>
      <c r="G1625" s="4">
        <f>Table1[[#This Row],[Life expectancy at birth, total (years) '[SP.DYN.LE00.IN']]]/Table1[[#This Row],[Current health expenditure per capita (current US$) '[SH.XPD.CHEX.PC.CD']]]*1000</f>
        <v>225.40165552258097</v>
      </c>
    </row>
    <row r="1626" spans="1:7" x14ac:dyDescent="0.25">
      <c r="A1626" s="5" t="s">
        <v>329</v>
      </c>
      <c r="B1626" s="6" t="s">
        <v>221</v>
      </c>
      <c r="C1626" s="5">
        <v>2017</v>
      </c>
      <c r="D1626" s="7">
        <v>337.89614868000001</v>
      </c>
      <c r="E1626" s="11">
        <v>71.013000000000005</v>
      </c>
      <c r="F1626" s="10">
        <f>Table1[[#This Row],[Life expectancy at birth, total (years) '[SP.DYN.LE00.IN']]]/Table1[[#This Row],[Current health expenditure per capita (current US$) '[SH.XPD.CHEX.PC.CD']]]</f>
        <v>0.21016220598374416</v>
      </c>
      <c r="G1626" s="4">
        <f>Table1[[#This Row],[Life expectancy at birth, total (years) '[SP.DYN.LE00.IN']]]/Table1[[#This Row],[Current health expenditure per capita (current US$) '[SH.XPD.CHEX.PC.CD']]]*1000</f>
        <v>210.16220598374417</v>
      </c>
    </row>
    <row r="1627" spans="1:7" x14ac:dyDescent="0.25">
      <c r="A1627" s="5" t="s">
        <v>329</v>
      </c>
      <c r="B1627" s="6" t="s">
        <v>221</v>
      </c>
      <c r="C1627" s="5">
        <v>2018</v>
      </c>
      <c r="D1627" s="7">
        <v>358.53372192</v>
      </c>
      <c r="E1627" s="11">
        <v>71.016999999999996</v>
      </c>
      <c r="F1627" s="10">
        <f>Table1[[#This Row],[Life expectancy at birth, total (years) '[SP.DYN.LE00.IN']]]/Table1[[#This Row],[Current health expenditure per capita (current US$) '[SH.XPD.CHEX.PC.CD']]]</f>
        <v>0.19807620778233545</v>
      </c>
      <c r="G1627" s="4">
        <f>Table1[[#This Row],[Life expectancy at birth, total (years) '[SP.DYN.LE00.IN']]]/Table1[[#This Row],[Current health expenditure per capita (current US$) '[SH.XPD.CHEX.PC.CD']]]*1000</f>
        <v>198.07620778233544</v>
      </c>
    </row>
    <row r="1628" spans="1:7" x14ac:dyDescent="0.25">
      <c r="A1628" s="5" t="s">
        <v>329</v>
      </c>
      <c r="B1628" s="6" t="s">
        <v>221</v>
      </c>
      <c r="C1628" s="5">
        <v>2019</v>
      </c>
      <c r="D1628" s="7">
        <v>372.05615233999998</v>
      </c>
      <c r="E1628" s="11">
        <v>70.994</v>
      </c>
      <c r="F1628" s="10">
        <f>Table1[[#This Row],[Life expectancy at birth, total (years) '[SP.DYN.LE00.IN']]]/Table1[[#This Row],[Current health expenditure per capita (current US$) '[SH.XPD.CHEX.PC.CD']]]</f>
        <v>0.19081528299825776</v>
      </c>
      <c r="G1628" s="4">
        <f>Table1[[#This Row],[Life expectancy at birth, total (years) '[SP.DYN.LE00.IN']]]/Table1[[#This Row],[Current health expenditure per capita (current US$) '[SH.XPD.CHEX.PC.CD']]]*1000</f>
        <v>190.81528299825774</v>
      </c>
    </row>
    <row r="1629" spans="1:7" x14ac:dyDescent="0.25">
      <c r="A1629" s="5" t="s">
        <v>329</v>
      </c>
      <c r="B1629" s="6" t="s">
        <v>221</v>
      </c>
      <c r="C1629" s="5">
        <v>2020</v>
      </c>
      <c r="D1629" s="7">
        <v>406.35711670000001</v>
      </c>
      <c r="E1629" s="11">
        <v>69.605000000000004</v>
      </c>
      <c r="F1629" s="10">
        <f>Table1[[#This Row],[Life expectancy at birth, total (years) '[SP.DYN.LE00.IN']]]/Table1[[#This Row],[Current health expenditure per capita (current US$) '[SH.XPD.CHEX.PC.CD']]]</f>
        <v>0.17129022020152551</v>
      </c>
      <c r="G1629" s="4">
        <f>Table1[[#This Row],[Life expectancy at birth, total (years) '[SP.DYN.LE00.IN']]]/Table1[[#This Row],[Current health expenditure per capita (current US$) '[SH.XPD.CHEX.PC.CD']]]*1000</f>
        <v>171.2902202015255</v>
      </c>
    </row>
    <row r="1630" spans="1:7" x14ac:dyDescent="0.25">
      <c r="A1630" s="5" t="s">
        <v>329</v>
      </c>
      <c r="B1630" s="6" t="s">
        <v>221</v>
      </c>
      <c r="C1630" s="5">
        <v>2021</v>
      </c>
      <c r="D1630" s="7">
        <v>454.78472900000003</v>
      </c>
      <c r="E1630" s="11">
        <v>69.132000000000005</v>
      </c>
      <c r="F1630" s="10">
        <f>Table1[[#This Row],[Life expectancy at birth, total (years) '[SP.DYN.LE00.IN']]]/Table1[[#This Row],[Current health expenditure per capita (current US$) '[SH.XPD.CHEX.PC.CD']]]</f>
        <v>0.15201038115771914</v>
      </c>
      <c r="G1630" s="4">
        <f>Table1[[#This Row],[Life expectancy at birth, total (years) '[SP.DYN.LE00.IN']]]/Table1[[#This Row],[Current health expenditure per capita (current US$) '[SH.XPD.CHEX.PC.CD']]]*1000</f>
        <v>152.01038115771914</v>
      </c>
    </row>
    <row r="1631" spans="1:7" x14ac:dyDescent="0.25">
      <c r="A1631" s="5" t="s">
        <v>329</v>
      </c>
      <c r="B1631" s="6" t="s">
        <v>221</v>
      </c>
      <c r="C1631" s="5">
        <v>2022</v>
      </c>
      <c r="D1631" s="7">
        <v>437.94085693</v>
      </c>
      <c r="E1631" s="11">
        <v>71.191000000000003</v>
      </c>
      <c r="F1631" s="10">
        <f>Table1[[#This Row],[Life expectancy at birth, total (years) '[SP.DYN.LE00.IN']]]/Table1[[#This Row],[Current health expenditure per capita (current US$) '[SH.XPD.CHEX.PC.CD']]]</f>
        <v>0.16255847992593003</v>
      </c>
      <c r="G1631" s="4">
        <f>Table1[[#This Row],[Life expectancy at birth, total (years) '[SP.DYN.LE00.IN']]]/Table1[[#This Row],[Current health expenditure per capita (current US$) '[SH.XPD.CHEX.PC.CD']]]*1000</f>
        <v>162.55847992593004</v>
      </c>
    </row>
    <row r="1632" spans="1:7" x14ac:dyDescent="0.25">
      <c r="A1632" s="5" t="s">
        <v>329</v>
      </c>
      <c r="B1632" s="6" t="s">
        <v>221</v>
      </c>
      <c r="C1632" s="5">
        <v>2023</v>
      </c>
      <c r="D1632" s="7">
        <v>469.20709228999999</v>
      </c>
      <c r="E1632" s="11">
        <v>71.23</v>
      </c>
      <c r="F1632" s="10">
        <f>Table1[[#This Row],[Life expectancy at birth, total (years) '[SP.DYN.LE00.IN']]]/Table1[[#This Row],[Current health expenditure per capita (current US$) '[SH.XPD.CHEX.PC.CD']]]</f>
        <v>0.1518092994979183</v>
      </c>
      <c r="G1632" s="4">
        <f>Table1[[#This Row],[Life expectancy at birth, total (years) '[SP.DYN.LE00.IN']]]/Table1[[#This Row],[Current health expenditure per capita (current US$) '[SH.XPD.CHEX.PC.CD']]]*1000</f>
        <v>151.80929949791829</v>
      </c>
    </row>
    <row r="1633" spans="1:7" hidden="1" x14ac:dyDescent="0.25">
      <c r="B1633" s="1"/>
      <c r="D1633" s="3"/>
      <c r="E1633"/>
      <c r="F1633" t="e">
        <f>Table1[[#This Row],[Life expectancy at birth, total (years) '[SP.DYN.LE00.IN']]]/Table1[[#This Row],[Current health expenditure per capita (current US$) '[SH.XPD.CHEX.PC.CD']]]</f>
        <v>#DIV/0!</v>
      </c>
      <c r="G1633" s="2" t="e">
        <f>Table1[[#This Row],[Life expectancy at birth, total (years) '[SP.DYN.LE00.IN']]]/Table1[[#This Row],[Current health expenditure per capita (current US$) '[SH.XPD.CHEX.PC.CD']]]*1000</f>
        <v>#DIV/0!</v>
      </c>
    </row>
    <row r="1634" spans="1:7" x14ac:dyDescent="0.25">
      <c r="A1634" s="5" t="s">
        <v>76</v>
      </c>
      <c r="B1634" s="6" t="s">
        <v>74</v>
      </c>
      <c r="C1634" s="5">
        <v>2015</v>
      </c>
      <c r="D1634" s="7">
        <v>93.696571349999999</v>
      </c>
      <c r="E1634" s="11">
        <v>64.375</v>
      </c>
      <c r="F1634" s="10">
        <f>Table1[[#This Row],[Life expectancy at birth, total (years) '[SP.DYN.LE00.IN']]]/Table1[[#This Row],[Current health expenditure per capita (current US$) '[SH.XPD.CHEX.PC.CD']]]</f>
        <v>0.68705822499661828</v>
      </c>
      <c r="G1634" s="4">
        <f>Table1[[#This Row],[Life expectancy at birth, total (years) '[SP.DYN.LE00.IN']]]/Table1[[#This Row],[Current health expenditure per capita (current US$) '[SH.XPD.CHEX.PC.CD']]]*1000</f>
        <v>687.05822499661826</v>
      </c>
    </row>
    <row r="1635" spans="1:7" x14ac:dyDescent="0.25">
      <c r="A1635" s="5" t="s">
        <v>76</v>
      </c>
      <c r="B1635" s="6" t="s">
        <v>74</v>
      </c>
      <c r="C1635" s="5">
        <v>2016</v>
      </c>
      <c r="D1635" s="7">
        <v>89.396339420000004</v>
      </c>
      <c r="E1635" s="11">
        <v>64.677000000000007</v>
      </c>
      <c r="F1635" s="10">
        <f>Table1[[#This Row],[Life expectancy at birth, total (years) '[SP.DYN.LE00.IN']]]/Table1[[#This Row],[Current health expenditure per capita (current US$) '[SH.XPD.CHEX.PC.CD']]]</f>
        <v>0.72348599975817673</v>
      </c>
      <c r="G1635" s="4">
        <f>Table1[[#This Row],[Life expectancy at birth, total (years) '[SP.DYN.LE00.IN']]]/Table1[[#This Row],[Current health expenditure per capita (current US$) '[SH.XPD.CHEX.PC.CD']]]*1000</f>
        <v>723.48599975817672</v>
      </c>
    </row>
    <row r="1636" spans="1:7" x14ac:dyDescent="0.25">
      <c r="A1636" s="5" t="s">
        <v>76</v>
      </c>
      <c r="B1636" s="6" t="s">
        <v>74</v>
      </c>
      <c r="C1636" s="5">
        <v>2017</v>
      </c>
      <c r="D1636" s="7">
        <v>67.754768369999994</v>
      </c>
      <c r="E1636" s="11">
        <v>65.146000000000001</v>
      </c>
      <c r="F1636" s="10">
        <f>Table1[[#This Row],[Life expectancy at birth, total (years) '[SP.DYN.LE00.IN']]]/Table1[[#This Row],[Current health expenditure per capita (current US$) '[SH.XPD.CHEX.PC.CD']]]</f>
        <v>0.96149690371969321</v>
      </c>
      <c r="G1636" s="4">
        <f>Table1[[#This Row],[Life expectancy at birth, total (years) '[SP.DYN.LE00.IN']]]/Table1[[#This Row],[Current health expenditure per capita (current US$) '[SH.XPD.CHEX.PC.CD']]]*1000</f>
        <v>961.49690371969325</v>
      </c>
    </row>
    <row r="1637" spans="1:7" x14ac:dyDescent="0.25">
      <c r="A1637" s="5" t="s">
        <v>76</v>
      </c>
      <c r="B1637" s="6" t="s">
        <v>74</v>
      </c>
      <c r="C1637" s="5">
        <v>2018</v>
      </c>
      <c r="D1637" s="7">
        <v>33.883666990000002</v>
      </c>
      <c r="E1637" s="11">
        <v>65.501000000000005</v>
      </c>
      <c r="F1637" s="10">
        <f>Table1[[#This Row],[Life expectancy at birth, total (years) '[SP.DYN.LE00.IN']]]/Table1[[#This Row],[Current health expenditure per capita (current US$) '[SH.XPD.CHEX.PC.CD']]]</f>
        <v>1.9331142647379678</v>
      </c>
      <c r="G1637" s="4">
        <f>Table1[[#This Row],[Life expectancy at birth, total (years) '[SP.DYN.LE00.IN']]]/Table1[[#This Row],[Current health expenditure per capita (current US$) '[SH.XPD.CHEX.PC.CD']]]*1000</f>
        <v>1933.1142647379677</v>
      </c>
    </row>
    <row r="1638" spans="1:7" x14ac:dyDescent="0.25">
      <c r="A1638" s="5" t="s">
        <v>76</v>
      </c>
      <c r="B1638" s="6" t="s">
        <v>74</v>
      </c>
      <c r="C1638" s="5">
        <v>2019</v>
      </c>
      <c r="D1638" s="7">
        <v>31.794069289999999</v>
      </c>
      <c r="E1638" s="11">
        <v>65.802999999999997</v>
      </c>
      <c r="F1638" s="10">
        <f>Table1[[#This Row],[Life expectancy at birth, total (years) '[SP.DYN.LE00.IN']]]/Table1[[#This Row],[Current health expenditure per capita (current US$) '[SH.XPD.CHEX.PC.CD']]]</f>
        <v>2.0696627223082964</v>
      </c>
      <c r="G1638" s="4">
        <f>Table1[[#This Row],[Life expectancy at birth, total (years) '[SP.DYN.LE00.IN']]]/Table1[[#This Row],[Current health expenditure per capita (current US$) '[SH.XPD.CHEX.PC.CD']]]*1000</f>
        <v>2069.6627223082965</v>
      </c>
    </row>
    <row r="1639" spans="1:7" x14ac:dyDescent="0.25">
      <c r="A1639" s="5" t="s">
        <v>76</v>
      </c>
      <c r="B1639" s="6" t="s">
        <v>74</v>
      </c>
      <c r="C1639" s="5">
        <v>2020</v>
      </c>
      <c r="D1639" s="7">
        <v>22.918615339999999</v>
      </c>
      <c r="E1639" s="11">
        <v>65.123999999999995</v>
      </c>
      <c r="F1639" s="10">
        <f>Table1[[#This Row],[Life expectancy at birth, total (years) '[SP.DYN.LE00.IN']]]/Table1[[#This Row],[Current health expenditure per capita (current US$) '[SH.XPD.CHEX.PC.CD']]]</f>
        <v>2.8415329213339815</v>
      </c>
      <c r="G1639" s="4">
        <f>Table1[[#This Row],[Life expectancy at birth, total (years) '[SP.DYN.LE00.IN']]]/Table1[[#This Row],[Current health expenditure per capita (current US$) '[SH.XPD.CHEX.PC.CD']]]*1000</f>
        <v>2841.5329213339814</v>
      </c>
    </row>
    <row r="1640" spans="1:7" x14ac:dyDescent="0.25">
      <c r="A1640" s="5" t="s">
        <v>76</v>
      </c>
      <c r="B1640" s="6" t="s">
        <v>74</v>
      </c>
      <c r="C1640" s="5">
        <v>2021</v>
      </c>
      <c r="D1640" s="7">
        <v>21.691410059999999</v>
      </c>
      <c r="E1640" s="11">
        <v>64.459999999999994</v>
      </c>
      <c r="F1640" s="10">
        <f>Table1[[#This Row],[Life expectancy at birth, total (years) '[SP.DYN.LE00.IN']]]/Table1[[#This Row],[Current health expenditure per capita (current US$) '[SH.XPD.CHEX.PC.CD']]]</f>
        <v>2.9716832525732078</v>
      </c>
      <c r="G1640" s="4">
        <f>Table1[[#This Row],[Life expectancy at birth, total (years) '[SP.DYN.LE00.IN']]]/Table1[[#This Row],[Current health expenditure per capita (current US$) '[SH.XPD.CHEX.PC.CD']]]*1000</f>
        <v>2971.6832525732079</v>
      </c>
    </row>
    <row r="1641" spans="1:7" x14ac:dyDescent="0.25">
      <c r="A1641" s="5" t="s">
        <v>76</v>
      </c>
      <c r="B1641" s="6" t="s">
        <v>74</v>
      </c>
      <c r="C1641" s="5">
        <v>2022</v>
      </c>
      <c r="D1641" s="7">
        <v>25.75139618</v>
      </c>
      <c r="E1641" s="11">
        <v>65.694999999999993</v>
      </c>
      <c r="F1641" s="10">
        <f>Table1[[#This Row],[Life expectancy at birth, total (years) '[SP.DYN.LE00.IN']]]/Table1[[#This Row],[Current health expenditure per capita (current US$) '[SH.XPD.CHEX.PC.CD']]]</f>
        <v>2.5511238125031244</v>
      </c>
      <c r="G1641" s="4">
        <f>Table1[[#This Row],[Life expectancy at birth, total (years) '[SP.DYN.LE00.IN']]]/Table1[[#This Row],[Current health expenditure per capita (current US$) '[SH.XPD.CHEX.PC.CD']]]*1000</f>
        <v>2551.1238125031246</v>
      </c>
    </row>
    <row r="1642" spans="1:7" x14ac:dyDescent="0.25">
      <c r="A1642" s="5" t="s">
        <v>76</v>
      </c>
      <c r="B1642" s="6" t="s">
        <v>74</v>
      </c>
      <c r="C1642" s="5">
        <v>2023</v>
      </c>
      <c r="D1642" s="7">
        <v>21.0830822</v>
      </c>
      <c r="E1642" s="11">
        <v>66.331000000000003</v>
      </c>
      <c r="F1642" s="10">
        <f>Table1[[#This Row],[Life expectancy at birth, total (years) '[SP.DYN.LE00.IN']]]/Table1[[#This Row],[Current health expenditure per capita (current US$) '[SH.XPD.CHEX.PC.CD']]]</f>
        <v>3.1461718628597866</v>
      </c>
      <c r="G1642" s="4">
        <f>Table1[[#This Row],[Life expectancy at birth, total (years) '[SP.DYN.LE00.IN']]]/Table1[[#This Row],[Current health expenditure per capita (current US$) '[SH.XPD.CHEX.PC.CD']]]*1000</f>
        <v>3146.1718628597864</v>
      </c>
    </row>
    <row r="1643" spans="1:7" hidden="1" x14ac:dyDescent="0.25">
      <c r="B1643" s="1"/>
      <c r="D1643" s="3"/>
      <c r="E1643"/>
      <c r="F1643" t="e">
        <f>Table1[[#This Row],[Life expectancy at birth, total (years) '[SP.DYN.LE00.IN']]]/Table1[[#This Row],[Current health expenditure per capita (current US$) '[SH.XPD.CHEX.PC.CD']]]</f>
        <v>#DIV/0!</v>
      </c>
      <c r="G1643" s="2" t="e">
        <f>Table1[[#This Row],[Life expectancy at birth, total (years) '[SP.DYN.LE00.IN']]]/Table1[[#This Row],[Current health expenditure per capita (current US$) '[SH.XPD.CHEX.PC.CD']]]*1000</f>
        <v>#DIV/0!</v>
      </c>
    </row>
    <row r="1644" spans="1:7" x14ac:dyDescent="0.25">
      <c r="A1644" s="5" t="s">
        <v>320</v>
      </c>
      <c r="B1644" s="6" t="s">
        <v>277</v>
      </c>
      <c r="C1644" s="5">
        <v>2015</v>
      </c>
      <c r="D1644" s="7">
        <v>511.91244506999999</v>
      </c>
      <c r="E1644" s="11">
        <v>70.566999999999993</v>
      </c>
      <c r="F1644" s="10">
        <f>Table1[[#This Row],[Life expectancy at birth, total (years) '[SP.DYN.LE00.IN']]]/Table1[[#This Row],[Current health expenditure per capita (current US$) '[SH.XPD.CHEX.PC.CD']]]</f>
        <v>0.13784974497025662</v>
      </c>
      <c r="G1644" s="4">
        <f>Table1[[#This Row],[Life expectancy at birth, total (years) '[SP.DYN.LE00.IN']]]/Table1[[#This Row],[Current health expenditure per capita (current US$) '[SH.XPD.CHEX.PC.CD']]]*1000</f>
        <v>137.84974497025661</v>
      </c>
    </row>
    <row r="1645" spans="1:7" x14ac:dyDescent="0.25">
      <c r="A1645" s="5" t="s">
        <v>320</v>
      </c>
      <c r="B1645" s="6" t="s">
        <v>277</v>
      </c>
      <c r="C1645" s="5">
        <v>2016</v>
      </c>
      <c r="D1645" s="7">
        <v>338.24822998000002</v>
      </c>
      <c r="E1645" s="11">
        <v>70.978999999999999</v>
      </c>
      <c r="F1645" s="10">
        <f>Table1[[#This Row],[Life expectancy at birth, total (years) '[SP.DYN.LE00.IN']]]/Table1[[#This Row],[Current health expenditure per capita (current US$) '[SH.XPD.CHEX.PC.CD']]]</f>
        <v>0.20984293104563134</v>
      </c>
      <c r="G1645" s="4">
        <f>Table1[[#This Row],[Life expectancy at birth, total (years) '[SP.DYN.LE00.IN']]]/Table1[[#This Row],[Current health expenditure per capita (current US$) '[SH.XPD.CHEX.PC.CD']]]*1000</f>
        <v>209.84293104563133</v>
      </c>
    </row>
    <row r="1646" spans="1:7" x14ac:dyDescent="0.25">
      <c r="A1646" s="5" t="s">
        <v>320</v>
      </c>
      <c r="B1646" s="6" t="s">
        <v>277</v>
      </c>
      <c r="C1646" s="5">
        <v>2017</v>
      </c>
      <c r="D1646" s="7">
        <v>322.00415039000001</v>
      </c>
      <c r="E1646" s="11">
        <v>71.247</v>
      </c>
      <c r="F1646" s="10">
        <f>Table1[[#This Row],[Life expectancy at birth, total (years) '[SP.DYN.LE00.IN']]]/Table1[[#This Row],[Current health expenditure per capita (current US$) '[SH.XPD.CHEX.PC.CD']]]</f>
        <v>0.22126112322995886</v>
      </c>
      <c r="G1646" s="4">
        <f>Table1[[#This Row],[Life expectancy at birth, total (years) '[SP.DYN.LE00.IN']]]/Table1[[#This Row],[Current health expenditure per capita (current US$) '[SH.XPD.CHEX.PC.CD']]]*1000</f>
        <v>221.26112322995886</v>
      </c>
    </row>
    <row r="1647" spans="1:7" x14ac:dyDescent="0.25">
      <c r="A1647" s="5" t="s">
        <v>320</v>
      </c>
      <c r="B1647" s="6" t="s">
        <v>277</v>
      </c>
      <c r="C1647" s="5">
        <v>2018</v>
      </c>
      <c r="D1647" s="7">
        <v>440.32211303999998</v>
      </c>
      <c r="E1647" s="11">
        <v>71.468000000000004</v>
      </c>
      <c r="F1647" s="10">
        <f>Table1[[#This Row],[Life expectancy at birth, total (years) '[SP.DYN.LE00.IN']]]/Table1[[#This Row],[Current health expenditure per capita (current US$) '[SH.XPD.CHEX.PC.CD']]]</f>
        <v>0.16230845075343212</v>
      </c>
      <c r="G1647" s="4">
        <f>Table1[[#This Row],[Life expectancy at birth, total (years) '[SP.DYN.LE00.IN']]]/Table1[[#This Row],[Current health expenditure per capita (current US$) '[SH.XPD.CHEX.PC.CD']]]*1000</f>
        <v>162.30845075343211</v>
      </c>
    </row>
    <row r="1648" spans="1:7" x14ac:dyDescent="0.25">
      <c r="A1648" s="5" t="s">
        <v>320</v>
      </c>
      <c r="B1648" s="6" t="s">
        <v>277</v>
      </c>
      <c r="C1648" s="5">
        <v>2019</v>
      </c>
      <c r="D1648" s="7">
        <v>588.83825683999999</v>
      </c>
      <c r="E1648" s="11">
        <v>71.772999999999996</v>
      </c>
      <c r="F1648" s="10">
        <f>Table1[[#This Row],[Life expectancy at birth, total (years) '[SP.DYN.LE00.IN']]]/Table1[[#This Row],[Current health expenditure per capita (current US$) '[SH.XPD.CHEX.PC.CD']]]</f>
        <v>0.12188915914731788</v>
      </c>
      <c r="G1648" s="4">
        <f>Table1[[#This Row],[Life expectancy at birth, total (years) '[SP.DYN.LE00.IN']]]/Table1[[#This Row],[Current health expenditure per capita (current US$) '[SH.XPD.CHEX.PC.CD']]]*1000</f>
        <v>121.88915914731788</v>
      </c>
    </row>
    <row r="1649" spans="1:7" x14ac:dyDescent="0.25">
      <c r="A1649" s="5" t="s">
        <v>320</v>
      </c>
      <c r="B1649" s="6" t="s">
        <v>277</v>
      </c>
      <c r="C1649" s="5">
        <v>2020</v>
      </c>
      <c r="D1649" s="7">
        <v>409.86743164000001</v>
      </c>
      <c r="E1649" s="11">
        <v>72.320999999999998</v>
      </c>
      <c r="F1649" s="10">
        <f>Table1[[#This Row],[Life expectancy at birth, total (years) '[SP.DYN.LE00.IN']]]/Table1[[#This Row],[Current health expenditure per capita (current US$) '[SH.XPD.CHEX.PC.CD']]]</f>
        <v>0.17644973573680259</v>
      </c>
      <c r="G1649" s="4">
        <f>Table1[[#This Row],[Life expectancy at birth, total (years) '[SP.DYN.LE00.IN']]]/Table1[[#This Row],[Current health expenditure per capita (current US$) '[SH.XPD.CHEX.PC.CD']]]*1000</f>
        <v>176.44973573680258</v>
      </c>
    </row>
    <row r="1650" spans="1:7" x14ac:dyDescent="0.25">
      <c r="A1650" s="5" t="s">
        <v>320</v>
      </c>
      <c r="B1650" s="6" t="s">
        <v>277</v>
      </c>
      <c r="C1650" s="5">
        <v>2021</v>
      </c>
      <c r="D1650" s="7">
        <v>270.37786864999998</v>
      </c>
      <c r="E1650" s="11">
        <v>68.942999999999998</v>
      </c>
      <c r="F1650" s="10">
        <f>Table1[[#This Row],[Life expectancy at birth, total (years) '[SP.DYN.LE00.IN']]]/Table1[[#This Row],[Current health expenditure per capita (current US$) '[SH.XPD.CHEX.PC.CD']]]</f>
        <v>0.25498758587096365</v>
      </c>
      <c r="G1650" s="4">
        <f>Table1[[#This Row],[Life expectancy at birth, total (years) '[SP.DYN.LE00.IN']]]/Table1[[#This Row],[Current health expenditure per capita (current US$) '[SH.XPD.CHEX.PC.CD']]]*1000</f>
        <v>254.98758587096364</v>
      </c>
    </row>
    <row r="1651" spans="1:7" x14ac:dyDescent="0.25">
      <c r="A1651" s="5" t="s">
        <v>320</v>
      </c>
      <c r="B1651" s="6" t="s">
        <v>277</v>
      </c>
      <c r="C1651" s="5">
        <v>2022</v>
      </c>
      <c r="D1651" s="7">
        <v>344.74603271000001</v>
      </c>
      <c r="E1651" s="11">
        <v>73.254000000000005</v>
      </c>
      <c r="F1651" s="10">
        <f>Table1[[#This Row],[Life expectancy at birth, total (years) '[SP.DYN.LE00.IN']]]/Table1[[#This Row],[Current health expenditure per capita (current US$) '[SH.XPD.CHEX.PC.CD']]]</f>
        <v>0.21248685423342112</v>
      </c>
      <c r="G1651" s="4">
        <f>Table1[[#This Row],[Life expectancy at birth, total (years) '[SP.DYN.LE00.IN']]]/Table1[[#This Row],[Current health expenditure per capita (current US$) '[SH.XPD.CHEX.PC.CD']]]*1000</f>
        <v>212.48685423342113</v>
      </c>
    </row>
    <row r="1652" spans="1:7" x14ac:dyDescent="0.25">
      <c r="A1652" s="5" t="s">
        <v>320</v>
      </c>
      <c r="B1652" s="6" t="s">
        <v>277</v>
      </c>
      <c r="C1652" s="5">
        <v>2023</v>
      </c>
      <c r="D1652" s="7">
        <v>297.04589843999997</v>
      </c>
      <c r="E1652" s="11">
        <v>73.631</v>
      </c>
      <c r="F1652" s="10">
        <f>Table1[[#This Row],[Life expectancy at birth, total (years) '[SP.DYN.LE00.IN']]]/Table1[[#This Row],[Current health expenditure per capita (current US$) '[SH.XPD.CHEX.PC.CD']]]</f>
        <v>0.24787751787413639</v>
      </c>
      <c r="G1652" s="4">
        <f>Table1[[#This Row],[Life expectancy at birth, total (years) '[SP.DYN.LE00.IN']]]/Table1[[#This Row],[Current health expenditure per capita (current US$) '[SH.XPD.CHEX.PC.CD']]]*1000</f>
        <v>247.8775178741364</v>
      </c>
    </row>
    <row r="1653" spans="1:7" hidden="1" x14ac:dyDescent="0.25">
      <c r="B1653" s="1"/>
      <c r="D1653" s="3"/>
      <c r="E1653"/>
      <c r="F1653" t="e">
        <f>Table1[[#This Row],[Life expectancy at birth, total (years) '[SP.DYN.LE00.IN']]]/Table1[[#This Row],[Current health expenditure per capita (current US$) '[SH.XPD.CHEX.PC.CD']]]</f>
        <v>#DIV/0!</v>
      </c>
      <c r="G1653" s="2" t="e">
        <f>Table1[[#This Row],[Life expectancy at birth, total (years) '[SP.DYN.LE00.IN']]]/Table1[[#This Row],[Current health expenditure per capita (current US$) '[SH.XPD.CHEX.PC.CD']]]*1000</f>
        <v>#DIV/0!</v>
      </c>
    </row>
    <row r="1654" spans="1:7" x14ac:dyDescent="0.25">
      <c r="A1654" s="5" t="s">
        <v>343</v>
      </c>
      <c r="B1654" s="6" t="s">
        <v>295</v>
      </c>
      <c r="C1654" s="5">
        <v>2015</v>
      </c>
      <c r="D1654" s="7">
        <v>5626.0483398400002</v>
      </c>
      <c r="E1654" s="11">
        <v>82.2048780487805</v>
      </c>
      <c r="F1654" s="10">
        <f>Table1[[#This Row],[Life expectancy at birth, total (years) '[SP.DYN.LE00.IN']]]/Table1[[#This Row],[Current health expenditure per capita (current US$) '[SH.XPD.CHEX.PC.CD']]]</f>
        <v>1.4611477378653013E-2</v>
      </c>
      <c r="G1654" s="4">
        <f>Table1[[#This Row],[Life expectancy at birth, total (years) '[SP.DYN.LE00.IN']]]/Table1[[#This Row],[Current health expenditure per capita (current US$) '[SH.XPD.CHEX.PC.CD']]]*1000</f>
        <v>14.611477378653014</v>
      </c>
    </row>
    <row r="1655" spans="1:7" x14ac:dyDescent="0.25">
      <c r="A1655" s="5" t="s">
        <v>343</v>
      </c>
      <c r="B1655" s="6" t="s">
        <v>295</v>
      </c>
      <c r="C1655" s="5">
        <v>2016</v>
      </c>
      <c r="D1655" s="7">
        <v>5719.4599609400002</v>
      </c>
      <c r="E1655" s="11">
        <v>82.307317073170736</v>
      </c>
      <c r="F1655" s="10">
        <f>Table1[[#This Row],[Life expectancy at birth, total (years) '[SP.DYN.LE00.IN']]]/Table1[[#This Row],[Current health expenditure per capita (current US$) '[SH.XPD.CHEX.PC.CD']]]</f>
        <v>1.4390749762263118E-2</v>
      </c>
      <c r="G1655" s="4">
        <f>Table1[[#This Row],[Life expectancy at birth, total (years) '[SP.DYN.LE00.IN']]]/Table1[[#This Row],[Current health expenditure per capita (current US$) '[SH.XPD.CHEX.PC.CD']]]*1000</f>
        <v>14.390749762263118</v>
      </c>
    </row>
    <row r="1656" spans="1:7" x14ac:dyDescent="0.25">
      <c r="A1656" s="5" t="s">
        <v>343</v>
      </c>
      <c r="B1656" s="6" t="s">
        <v>295</v>
      </c>
      <c r="C1656" s="5">
        <v>2017</v>
      </c>
      <c r="D1656" s="7">
        <v>5871.5229492199996</v>
      </c>
      <c r="E1656" s="11">
        <v>82.409756097560987</v>
      </c>
      <c r="F1656" s="10">
        <f>Table1[[#This Row],[Life expectancy at birth, total (years) '[SP.DYN.LE00.IN']]]/Table1[[#This Row],[Current health expenditure per capita (current US$) '[SH.XPD.CHEX.PC.CD']]]</f>
        <v>1.403549927510863E-2</v>
      </c>
      <c r="G1656" s="4">
        <f>Table1[[#This Row],[Life expectancy at birth, total (years) '[SP.DYN.LE00.IN']]]/Table1[[#This Row],[Current health expenditure per capita (current US$) '[SH.XPD.CHEX.PC.CD']]]*1000</f>
        <v>14.035499275108631</v>
      </c>
    </row>
    <row r="1657" spans="1:7" x14ac:dyDescent="0.25">
      <c r="A1657" s="5" t="s">
        <v>343</v>
      </c>
      <c r="B1657" s="6" t="s">
        <v>295</v>
      </c>
      <c r="C1657" s="5">
        <v>2018</v>
      </c>
      <c r="D1657" s="7">
        <v>6042.1352539099998</v>
      </c>
      <c r="E1657" s="11">
        <v>82.558536585365857</v>
      </c>
      <c r="F1657" s="10">
        <f>Table1[[#This Row],[Life expectancy at birth, total (years) '[SP.DYN.LE00.IN']]]/Table1[[#This Row],[Current health expenditure per capita (current US$) '[SH.XPD.CHEX.PC.CD']]]</f>
        <v>1.3663801473484128E-2</v>
      </c>
      <c r="G1657" s="4">
        <f>Table1[[#This Row],[Life expectancy at birth, total (years) '[SP.DYN.LE00.IN']]]/Table1[[#This Row],[Current health expenditure per capita (current US$) '[SH.XPD.CHEX.PC.CD']]]*1000</f>
        <v>13.663801473484128</v>
      </c>
    </row>
    <row r="1658" spans="1:7" x14ac:dyDescent="0.25">
      <c r="A1658" s="5" t="s">
        <v>343</v>
      </c>
      <c r="B1658" s="6" t="s">
        <v>295</v>
      </c>
      <c r="C1658" s="5">
        <v>2019</v>
      </c>
      <c r="D1658" s="7">
        <v>5688.0449218800004</v>
      </c>
      <c r="E1658" s="11">
        <v>83.109756097560989</v>
      </c>
      <c r="F1658" s="10">
        <f>Table1[[#This Row],[Life expectancy at birth, total (years) '[SP.DYN.LE00.IN']]]/Table1[[#This Row],[Current health expenditure per capita (current US$) '[SH.XPD.CHEX.PC.CD']]]</f>
        <v>1.4611304453286865E-2</v>
      </c>
      <c r="G1658" s="4">
        <f>Table1[[#This Row],[Life expectancy at birth, total (years) '[SP.DYN.LE00.IN']]]/Table1[[#This Row],[Current health expenditure per capita (current US$) '[SH.XPD.CHEX.PC.CD']]]*1000</f>
        <v>14.611304453286865</v>
      </c>
    </row>
    <row r="1659" spans="1:7" x14ac:dyDescent="0.25">
      <c r="A1659" s="5" t="s">
        <v>343</v>
      </c>
      <c r="B1659" s="6" t="s">
        <v>295</v>
      </c>
      <c r="C1659" s="5">
        <v>2020</v>
      </c>
      <c r="D1659" s="7">
        <v>6030.5327148400002</v>
      </c>
      <c r="E1659" s="11">
        <v>82.356097560975613</v>
      </c>
      <c r="F1659" s="10">
        <f>Table1[[#This Row],[Life expectancy at birth, total (years) '[SP.DYN.LE00.IN']]]/Table1[[#This Row],[Current health expenditure per capita (current US$) '[SH.XPD.CHEX.PC.CD']]]</f>
        <v>1.3656521149170261E-2</v>
      </c>
      <c r="G1659" s="4">
        <f>Table1[[#This Row],[Life expectancy at birth, total (years) '[SP.DYN.LE00.IN']]]/Table1[[#This Row],[Current health expenditure per capita (current US$) '[SH.XPD.CHEX.PC.CD']]]*1000</f>
        <v>13.656521149170262</v>
      </c>
    </row>
    <row r="1660" spans="1:7" x14ac:dyDescent="0.25">
      <c r="A1660" s="5" t="s">
        <v>343</v>
      </c>
      <c r="B1660" s="6" t="s">
        <v>295</v>
      </c>
      <c r="C1660" s="5">
        <v>2021</v>
      </c>
      <c r="D1660" s="7">
        <v>6894.2016601599998</v>
      </c>
      <c r="E1660" s="11">
        <v>83.056097560975616</v>
      </c>
      <c r="F1660" s="10">
        <f>Table1[[#This Row],[Life expectancy at birth, total (years) '[SP.DYN.LE00.IN']]]/Table1[[#This Row],[Current health expenditure per capita (current US$) '[SH.XPD.CHEX.PC.CD']]]</f>
        <v>1.204723935491148E-2</v>
      </c>
      <c r="G1660" s="4">
        <f>Table1[[#This Row],[Life expectancy at birth, total (years) '[SP.DYN.LE00.IN']]]/Table1[[#This Row],[Current health expenditure per capita (current US$) '[SH.XPD.CHEX.PC.CD']]]*1000</f>
        <v>12.047239354911479</v>
      </c>
    </row>
    <row r="1661" spans="1:7" x14ac:dyDescent="0.25">
      <c r="A1661" s="5" t="s">
        <v>343</v>
      </c>
      <c r="B1661" s="6" t="s">
        <v>295</v>
      </c>
      <c r="C1661" s="5">
        <v>2022</v>
      </c>
      <c r="D1661" s="7">
        <v>6022.3925781300004</v>
      </c>
      <c r="E1661" s="11">
        <v>83.058536585365871</v>
      </c>
      <c r="F1661" s="10">
        <f>Table1[[#This Row],[Life expectancy at birth, total (years) '[SP.DYN.LE00.IN']]]/Table1[[#This Row],[Current health expenditure per capita (current US$) '[SH.XPD.CHEX.PC.CD']]]</f>
        <v>1.3791617784431481E-2</v>
      </c>
      <c r="G1661" s="4">
        <f>Table1[[#This Row],[Life expectancy at birth, total (years) '[SP.DYN.LE00.IN']]]/Table1[[#This Row],[Current health expenditure per capita (current US$) '[SH.XPD.CHEX.PC.CD']]]*1000</f>
        <v>13.79161778443148</v>
      </c>
    </row>
    <row r="1662" spans="1:7" x14ac:dyDescent="0.25">
      <c r="A1662" s="5" t="s">
        <v>343</v>
      </c>
      <c r="B1662" s="6" t="s">
        <v>295</v>
      </c>
      <c r="C1662" s="5">
        <v>2023</v>
      </c>
      <c r="D1662" s="7">
        <v>6206.23046875</v>
      </c>
      <c r="E1662" s="11">
        <v>83.309756097560992</v>
      </c>
      <c r="F1662" s="10">
        <f>Table1[[#This Row],[Life expectancy at birth, total (years) '[SP.DYN.LE00.IN']]]/Table1[[#This Row],[Current health expenditure per capita (current US$) '[SH.XPD.CHEX.PC.CD']]]</f>
        <v>1.342356789955634E-2</v>
      </c>
      <c r="G1662" s="4">
        <f>Table1[[#This Row],[Life expectancy at birth, total (years) '[SP.DYN.LE00.IN']]]/Table1[[#This Row],[Current health expenditure per capita (current US$) '[SH.XPD.CHEX.PC.CD']]]*1000</f>
        <v>13.423567899556341</v>
      </c>
    </row>
    <row r="1663" spans="1:7" hidden="1" x14ac:dyDescent="0.25">
      <c r="B1663" s="1"/>
      <c r="D1663" s="3"/>
      <c r="E1663"/>
      <c r="F1663" t="e">
        <f>Table1[[#This Row],[Life expectancy at birth, total (years) '[SP.DYN.LE00.IN']]]/Table1[[#This Row],[Current health expenditure per capita (current US$) '[SH.XPD.CHEX.PC.CD']]]</f>
        <v>#DIV/0!</v>
      </c>
      <c r="G1663" s="2" t="e">
        <f>Table1[[#This Row],[Life expectancy at birth, total (years) '[SP.DYN.LE00.IN']]]/Table1[[#This Row],[Current health expenditure per capita (current US$) '[SH.XPD.CHEX.PC.CD']]]*1000</f>
        <v>#DIV/0!</v>
      </c>
    </row>
    <row r="1664" spans="1:7" x14ac:dyDescent="0.25">
      <c r="A1664" s="5" t="s">
        <v>49</v>
      </c>
      <c r="B1664" s="6" t="s">
        <v>156</v>
      </c>
      <c r="C1664" s="5">
        <v>2015</v>
      </c>
      <c r="D1664" s="7">
        <v>9200.1005859399993</v>
      </c>
      <c r="E1664" s="11">
        <v>82.897560975609764</v>
      </c>
      <c r="F1664" s="10">
        <f>Table1[[#This Row],[Life expectancy at birth, total (years) '[SP.DYN.LE00.IN']]]/Table1[[#This Row],[Current health expenditure per capita (current US$) '[SH.XPD.CHEX.PC.CD']]]</f>
        <v>9.0105059397173858E-3</v>
      </c>
      <c r="G1664" s="4">
        <f>Table1[[#This Row],[Life expectancy at birth, total (years) '[SP.DYN.LE00.IN']]]/Table1[[#This Row],[Current health expenditure per capita (current US$) '[SH.XPD.CHEX.PC.CD']]]*1000</f>
        <v>9.010505939717385</v>
      </c>
    </row>
    <row r="1665" spans="1:7" x14ac:dyDescent="0.25">
      <c r="A1665" s="5" t="s">
        <v>49</v>
      </c>
      <c r="B1665" s="6" t="s">
        <v>156</v>
      </c>
      <c r="C1665" s="5">
        <v>2016</v>
      </c>
      <c r="D1665" s="7">
        <v>9201.4746093800004</v>
      </c>
      <c r="E1665" s="11">
        <v>83.60243902439025</v>
      </c>
      <c r="F1665" s="10">
        <f>Table1[[#This Row],[Life expectancy at birth, total (years) '[SP.DYN.LE00.IN']]]/Table1[[#This Row],[Current health expenditure per capita (current US$) '[SH.XPD.CHEX.PC.CD']]]</f>
        <v>9.0857653336526914E-3</v>
      </c>
      <c r="G1665" s="4">
        <f>Table1[[#This Row],[Life expectancy at birth, total (years) '[SP.DYN.LE00.IN']]]/Table1[[#This Row],[Current health expenditure per capita (current US$) '[SH.XPD.CHEX.PC.CD']]]*1000</f>
        <v>9.0857653336526916</v>
      </c>
    </row>
    <row r="1666" spans="1:7" x14ac:dyDescent="0.25">
      <c r="A1666" s="5" t="s">
        <v>49</v>
      </c>
      <c r="B1666" s="6" t="s">
        <v>156</v>
      </c>
      <c r="C1666" s="5">
        <v>2017</v>
      </c>
      <c r="D1666" s="7">
        <v>9354.2207031300004</v>
      </c>
      <c r="E1666" s="11">
        <v>83.551219512195118</v>
      </c>
      <c r="F1666" s="10">
        <f>Table1[[#This Row],[Life expectancy at birth, total (years) '[SP.DYN.LE00.IN']]]/Table1[[#This Row],[Current health expenditure per capita (current US$) '[SH.XPD.CHEX.PC.CD']]]</f>
        <v>8.9319273260506007E-3</v>
      </c>
      <c r="G1666" s="4">
        <f>Table1[[#This Row],[Life expectancy at birth, total (years) '[SP.DYN.LE00.IN']]]/Table1[[#This Row],[Current health expenditure per capita (current US$) '[SH.XPD.CHEX.PC.CD']]]*1000</f>
        <v>8.9319273260505998</v>
      </c>
    </row>
    <row r="1667" spans="1:7" x14ac:dyDescent="0.25">
      <c r="A1667" s="5" t="s">
        <v>49</v>
      </c>
      <c r="B1667" s="6" t="s">
        <v>156</v>
      </c>
      <c r="C1667" s="5">
        <v>2018</v>
      </c>
      <c r="D1667" s="7">
        <v>9541.07421875</v>
      </c>
      <c r="E1667" s="11">
        <v>83.753658536585377</v>
      </c>
      <c r="F1667" s="10">
        <f>Table1[[#This Row],[Life expectancy at birth, total (years) '[SP.DYN.LE00.IN']]]/Table1[[#This Row],[Current health expenditure per capita (current US$) '[SH.XPD.CHEX.PC.CD']]]</f>
        <v>8.7782210489458015E-3</v>
      </c>
      <c r="G1667" s="4">
        <f>Table1[[#This Row],[Life expectancy at birth, total (years) '[SP.DYN.LE00.IN']]]/Table1[[#This Row],[Current health expenditure per capita (current US$) '[SH.XPD.CHEX.PC.CD']]]*1000</f>
        <v>8.7782210489458024</v>
      </c>
    </row>
    <row r="1668" spans="1:7" x14ac:dyDescent="0.25">
      <c r="A1668" s="5" t="s">
        <v>49</v>
      </c>
      <c r="B1668" s="6" t="s">
        <v>156</v>
      </c>
      <c r="C1668" s="5">
        <v>2019</v>
      </c>
      <c r="D1668" s="7">
        <v>9609.8027343800004</v>
      </c>
      <c r="E1668" s="11">
        <v>83.904878048780489</v>
      </c>
      <c r="F1668" s="10">
        <f>Table1[[#This Row],[Life expectancy at birth, total (years) '[SP.DYN.LE00.IN']]]/Table1[[#This Row],[Current health expenditure per capita (current US$) '[SH.XPD.CHEX.PC.CD']]]</f>
        <v>8.7311759011038451E-3</v>
      </c>
      <c r="G1668" s="4">
        <f>Table1[[#This Row],[Life expectancy at birth, total (years) '[SP.DYN.LE00.IN']]]/Table1[[#This Row],[Current health expenditure per capita (current US$) '[SH.XPD.CHEX.PC.CD']]]*1000</f>
        <v>8.7311759011038443</v>
      </c>
    </row>
    <row r="1669" spans="1:7" x14ac:dyDescent="0.25">
      <c r="A1669" s="5" t="s">
        <v>49</v>
      </c>
      <c r="B1669" s="6" t="s">
        <v>156</v>
      </c>
      <c r="C1669" s="5">
        <v>2020</v>
      </c>
      <c r="D1669" s="7">
        <v>10294.578125</v>
      </c>
      <c r="E1669" s="11">
        <v>83</v>
      </c>
      <c r="F1669" s="10">
        <f>Table1[[#This Row],[Life expectancy at birth, total (years) '[SP.DYN.LE00.IN']]]/Table1[[#This Row],[Current health expenditure per capita (current US$) '[SH.XPD.CHEX.PC.CD']]]</f>
        <v>8.0624964901123627E-3</v>
      </c>
      <c r="G1669" s="4">
        <f>Table1[[#This Row],[Life expectancy at birth, total (years) '[SP.DYN.LE00.IN']]]/Table1[[#This Row],[Current health expenditure per capita (current US$) '[SH.XPD.CHEX.PC.CD']]]*1000</f>
        <v>8.0624964901123626</v>
      </c>
    </row>
    <row r="1670" spans="1:7" x14ac:dyDescent="0.25">
      <c r="A1670" s="5" t="s">
        <v>49</v>
      </c>
      <c r="B1670" s="6" t="s">
        <v>156</v>
      </c>
      <c r="C1670" s="5">
        <v>2021</v>
      </c>
      <c r="D1670" s="7">
        <v>11197.764648439999</v>
      </c>
      <c r="E1670" s="11">
        <v>83.751219512195135</v>
      </c>
      <c r="F1670" s="10">
        <f>Table1[[#This Row],[Life expectancy at birth, total (years) '[SP.DYN.LE00.IN']]]/Table1[[#This Row],[Current health expenditure per capita (current US$) '[SH.XPD.CHEX.PC.CD']]]</f>
        <v>7.4792802082925382E-3</v>
      </c>
      <c r="G1670" s="4">
        <f>Table1[[#This Row],[Life expectancy at birth, total (years) '[SP.DYN.LE00.IN']]]/Table1[[#This Row],[Current health expenditure per capita (current US$) '[SH.XPD.CHEX.PC.CD']]]*1000</f>
        <v>7.479280208292538</v>
      </c>
    </row>
    <row r="1671" spans="1:7" x14ac:dyDescent="0.25">
      <c r="A1671" s="5" t="s">
        <v>49</v>
      </c>
      <c r="B1671" s="6" t="s">
        <v>156</v>
      </c>
      <c r="C1671" s="5">
        <v>2022</v>
      </c>
      <c r="D1671" s="7">
        <v>10930.139648439999</v>
      </c>
      <c r="E1671" s="11">
        <v>83.604878048780492</v>
      </c>
      <c r="F1671" s="10">
        <f>Table1[[#This Row],[Life expectancy at birth, total (years) '[SP.DYN.LE00.IN']]]/Table1[[#This Row],[Current health expenditure per capita (current US$) '[SH.XPD.CHEX.PC.CD']]]</f>
        <v>7.6490219464591166E-3</v>
      </c>
      <c r="G1671" s="4">
        <f>Table1[[#This Row],[Life expectancy at birth, total (years) '[SP.DYN.LE00.IN']]]/Table1[[#This Row],[Current health expenditure per capita (current US$) '[SH.XPD.CHEX.PC.CD']]]*1000</f>
        <v>7.6490219464591167</v>
      </c>
    </row>
    <row r="1672" spans="1:7" x14ac:dyDescent="0.25">
      <c r="A1672" s="5" t="s">
        <v>49</v>
      </c>
      <c r="B1672" s="6" t="s">
        <v>156</v>
      </c>
      <c r="C1672" s="5">
        <v>2023</v>
      </c>
      <c r="D1672" s="7">
        <v>11783.66992188</v>
      </c>
      <c r="E1672" s="11">
        <v>84.056097560975616</v>
      </c>
      <c r="F1672" s="10">
        <f>Table1[[#This Row],[Life expectancy at birth, total (years) '[SP.DYN.LE00.IN']]]/Table1[[#This Row],[Current health expenditure per capita (current US$) '[SH.XPD.CHEX.PC.CD']]]</f>
        <v>7.1332698656892679E-3</v>
      </c>
      <c r="G1672" s="4">
        <f>Table1[[#This Row],[Life expectancy at birth, total (years) '[SP.DYN.LE00.IN']]]/Table1[[#This Row],[Current health expenditure per capita (current US$) '[SH.XPD.CHEX.PC.CD']]]*1000</f>
        <v>7.1332698656892681</v>
      </c>
    </row>
    <row r="1673" spans="1:7" hidden="1" x14ac:dyDescent="0.25">
      <c r="B1673" s="1"/>
      <c r="D1673" s="3"/>
      <c r="E1673"/>
      <c r="F1673" t="e">
        <f>Table1[[#This Row],[Life expectancy at birth, total (years) '[SP.DYN.LE00.IN']]]/Table1[[#This Row],[Current health expenditure per capita (current US$) '[SH.XPD.CHEX.PC.CD']]]</f>
        <v>#DIV/0!</v>
      </c>
      <c r="G1673" s="2" t="e">
        <f>Table1[[#This Row],[Life expectancy at birth, total (years) '[SP.DYN.LE00.IN']]]/Table1[[#This Row],[Current health expenditure per capita (current US$) '[SH.XPD.CHEX.PC.CD']]]*1000</f>
        <v>#DIV/0!</v>
      </c>
    </row>
    <row r="1674" spans="1:7" x14ac:dyDescent="0.25">
      <c r="A1674" s="5" t="s">
        <v>119</v>
      </c>
      <c r="B1674" s="6" t="s">
        <v>147</v>
      </c>
      <c r="C1674" s="5">
        <v>2015</v>
      </c>
      <c r="D1674" s="7">
        <v>62.758049010000001</v>
      </c>
      <c r="E1674" s="11">
        <v>69.665000000000006</v>
      </c>
      <c r="F1674" s="10">
        <f>Table1[[#This Row],[Life expectancy at birth, total (years) '[SP.DYN.LE00.IN']]]/Table1[[#This Row],[Current health expenditure per capita (current US$) '[SH.XPD.CHEX.PC.CD']]]</f>
        <v>1.1100568150055052</v>
      </c>
      <c r="G1674" s="4">
        <f>Table1[[#This Row],[Life expectancy at birth, total (years) '[SP.DYN.LE00.IN']]]/Table1[[#This Row],[Current health expenditure per capita (current US$) '[SH.XPD.CHEX.PC.CD']]]*1000</f>
        <v>1110.0568150055053</v>
      </c>
    </row>
    <row r="1675" spans="1:7" x14ac:dyDescent="0.25">
      <c r="A1675" s="5" t="s">
        <v>119</v>
      </c>
      <c r="B1675" s="6" t="s">
        <v>147</v>
      </c>
      <c r="C1675" s="5">
        <v>2016</v>
      </c>
      <c r="D1675" s="7">
        <v>54.921356199999998</v>
      </c>
      <c r="E1675" s="11">
        <v>69.981999999999999</v>
      </c>
      <c r="F1675" s="10">
        <f>Table1[[#This Row],[Life expectancy at birth, total (years) '[SP.DYN.LE00.IN']]]/Table1[[#This Row],[Current health expenditure per capita (current US$) '[SH.XPD.CHEX.PC.CD']]]</f>
        <v>1.2742219938115804</v>
      </c>
      <c r="G1675" s="4">
        <f>Table1[[#This Row],[Life expectancy at birth, total (years) '[SP.DYN.LE00.IN']]]/Table1[[#This Row],[Current health expenditure per capita (current US$) '[SH.XPD.CHEX.PC.CD']]]*1000</f>
        <v>1274.2219938115804</v>
      </c>
    </row>
    <row r="1676" spans="1:7" x14ac:dyDescent="0.25">
      <c r="A1676" s="5" t="s">
        <v>119</v>
      </c>
      <c r="B1676" s="6" t="s">
        <v>147</v>
      </c>
      <c r="C1676" s="5">
        <v>2017</v>
      </c>
      <c r="D1676" s="7">
        <v>56.850925449999998</v>
      </c>
      <c r="E1676" s="11">
        <v>70.524000000000001</v>
      </c>
      <c r="F1676" s="10">
        <f>Table1[[#This Row],[Life expectancy at birth, total (years) '[SP.DYN.LE00.IN']]]/Table1[[#This Row],[Current health expenditure per capita (current US$) '[SH.XPD.CHEX.PC.CD']]]</f>
        <v>1.2405075105070256</v>
      </c>
      <c r="G1676" s="4">
        <f>Table1[[#This Row],[Life expectancy at birth, total (years) '[SP.DYN.LE00.IN']]]/Table1[[#This Row],[Current health expenditure per capita (current US$) '[SH.XPD.CHEX.PC.CD']]]*1000</f>
        <v>1240.5075105070255</v>
      </c>
    </row>
    <row r="1677" spans="1:7" x14ac:dyDescent="0.25">
      <c r="A1677" s="5" t="s">
        <v>119</v>
      </c>
      <c r="B1677" s="6" t="s">
        <v>147</v>
      </c>
      <c r="C1677" s="5">
        <v>2018</v>
      </c>
      <c r="D1677" s="7">
        <v>58.515399930000001</v>
      </c>
      <c r="E1677" s="11">
        <v>70.736999999999995</v>
      </c>
      <c r="F1677" s="10">
        <f>Table1[[#This Row],[Life expectancy at birth, total (years) '[SP.DYN.LE00.IN']]]/Table1[[#This Row],[Current health expenditure per capita (current US$) '[SH.XPD.CHEX.PC.CD']]]</f>
        <v>1.208861258482729</v>
      </c>
      <c r="G1677" s="4">
        <f>Table1[[#This Row],[Life expectancy at birth, total (years) '[SP.DYN.LE00.IN']]]/Table1[[#This Row],[Current health expenditure per capita (current US$) '[SH.XPD.CHEX.PC.CD']]]*1000</f>
        <v>1208.861258482729</v>
      </c>
    </row>
    <row r="1678" spans="1:7" x14ac:dyDescent="0.25">
      <c r="A1678" s="5" t="s">
        <v>119</v>
      </c>
      <c r="B1678" s="6" t="s">
        <v>147</v>
      </c>
      <c r="C1678" s="5">
        <v>2019</v>
      </c>
      <c r="D1678" s="7">
        <v>60.515682220000002</v>
      </c>
      <c r="E1678" s="11">
        <v>70.962000000000003</v>
      </c>
      <c r="F1678" s="10">
        <f>Table1[[#This Row],[Life expectancy at birth, total (years) '[SP.DYN.LE00.IN']]]/Table1[[#This Row],[Current health expenditure per capita (current US$) '[SH.XPD.CHEX.PC.CD']]]</f>
        <v>1.1726216642823795</v>
      </c>
      <c r="G1678" s="4">
        <f>Table1[[#This Row],[Life expectancy at birth, total (years) '[SP.DYN.LE00.IN']]]/Table1[[#This Row],[Current health expenditure per capita (current US$) '[SH.XPD.CHEX.PC.CD']]]*1000</f>
        <v>1172.6216642823795</v>
      </c>
    </row>
    <row r="1679" spans="1:7" x14ac:dyDescent="0.25">
      <c r="A1679" s="5" t="s">
        <v>119</v>
      </c>
      <c r="B1679" s="6" t="s">
        <v>147</v>
      </c>
      <c r="C1679" s="5">
        <v>2020</v>
      </c>
      <c r="D1679" s="7">
        <v>74.173294069999997</v>
      </c>
      <c r="E1679" s="11">
        <v>68.605000000000004</v>
      </c>
      <c r="F1679" s="10">
        <f>Table1[[#This Row],[Life expectancy at birth, total (years) '[SP.DYN.LE00.IN']]]/Table1[[#This Row],[Current health expenditure per capita (current US$) '[SH.XPD.CHEX.PC.CD']]]</f>
        <v>0.92492858595783822</v>
      </c>
      <c r="G1679" s="4">
        <f>Table1[[#This Row],[Life expectancy at birth, total (years) '[SP.DYN.LE00.IN']]]/Table1[[#This Row],[Current health expenditure per capita (current US$) '[SH.XPD.CHEX.PC.CD']]]*1000</f>
        <v>924.92858595783821</v>
      </c>
    </row>
    <row r="1680" spans="1:7" x14ac:dyDescent="0.25">
      <c r="A1680" s="5" t="s">
        <v>119</v>
      </c>
      <c r="B1680" s="6" t="s">
        <v>147</v>
      </c>
      <c r="C1680" s="5">
        <v>2021</v>
      </c>
      <c r="D1680" s="7">
        <v>75.103157039999999</v>
      </c>
      <c r="E1680" s="11">
        <v>69.593999999999994</v>
      </c>
      <c r="F1680" s="10">
        <f>Table1[[#This Row],[Life expectancy at birth, total (years) '[SP.DYN.LE00.IN']]]/Table1[[#This Row],[Current health expenditure per capita (current US$) '[SH.XPD.CHEX.PC.CD']]]</f>
        <v>0.92664546662045344</v>
      </c>
      <c r="G1680" s="4">
        <f>Table1[[#This Row],[Life expectancy at birth, total (years) '[SP.DYN.LE00.IN']]]/Table1[[#This Row],[Current health expenditure per capita (current US$) '[SH.XPD.CHEX.PC.CD']]]*1000</f>
        <v>926.64546662045348</v>
      </c>
    </row>
    <row r="1681" spans="1:7" x14ac:dyDescent="0.25">
      <c r="A1681" s="5" t="s">
        <v>119</v>
      </c>
      <c r="B1681" s="6" t="s">
        <v>147</v>
      </c>
      <c r="C1681" s="5">
        <v>2022</v>
      </c>
      <c r="D1681" s="7">
        <v>78.613265990000002</v>
      </c>
      <c r="E1681" s="11">
        <v>71.561999999999998</v>
      </c>
      <c r="F1681" s="10">
        <f>Table1[[#This Row],[Life expectancy at birth, total (years) '[SP.DYN.LE00.IN']]]/Table1[[#This Row],[Current health expenditure per capita (current US$) '[SH.XPD.CHEX.PC.CD']]]</f>
        <v>0.91030437546129983</v>
      </c>
      <c r="G1681" s="4">
        <f>Table1[[#This Row],[Life expectancy at birth, total (years) '[SP.DYN.LE00.IN']]]/Table1[[#This Row],[Current health expenditure per capita (current US$) '[SH.XPD.CHEX.PC.CD']]]*1000</f>
        <v>910.30437546129986</v>
      </c>
    </row>
    <row r="1682" spans="1:7" x14ac:dyDescent="0.25">
      <c r="A1682" s="5" t="s">
        <v>119</v>
      </c>
      <c r="B1682" s="6" t="s">
        <v>147</v>
      </c>
      <c r="C1682" s="5">
        <v>2023</v>
      </c>
      <c r="D1682" s="7">
        <v>85.147026060000002</v>
      </c>
      <c r="E1682" s="11">
        <v>71.790000000000006</v>
      </c>
      <c r="F1682" s="10">
        <f>Table1[[#This Row],[Life expectancy at birth, total (years) '[SP.DYN.LE00.IN']]]/Table1[[#This Row],[Current health expenditure per capita (current US$) '[SH.XPD.CHEX.PC.CD']]]</f>
        <v>0.84312985810464136</v>
      </c>
      <c r="G1682" s="4">
        <f>Table1[[#This Row],[Life expectancy at birth, total (years) '[SP.DYN.LE00.IN']]]/Table1[[#This Row],[Current health expenditure per capita (current US$) '[SH.XPD.CHEX.PC.CD']]]*1000</f>
        <v>843.12985810464136</v>
      </c>
    </row>
    <row r="1683" spans="1:7" hidden="1" x14ac:dyDescent="0.25">
      <c r="B1683" s="1"/>
      <c r="D1683" s="3"/>
      <c r="E1683"/>
      <c r="F1683" t="e">
        <f>Table1[[#This Row],[Life expectancy at birth, total (years) '[SP.DYN.LE00.IN']]]/Table1[[#This Row],[Current health expenditure per capita (current US$) '[SH.XPD.CHEX.PC.CD']]]</f>
        <v>#DIV/0!</v>
      </c>
      <c r="G1683" s="2" t="e">
        <f>Table1[[#This Row],[Life expectancy at birth, total (years) '[SP.DYN.LE00.IN']]]/Table1[[#This Row],[Current health expenditure per capita (current US$) '[SH.XPD.CHEX.PC.CD']]]*1000</f>
        <v>#DIV/0!</v>
      </c>
    </row>
    <row r="1684" spans="1:7" x14ac:dyDescent="0.25">
      <c r="A1684" s="5" t="s">
        <v>139</v>
      </c>
      <c r="B1684" s="6" t="s">
        <v>362</v>
      </c>
      <c r="C1684" s="5">
        <v>2015</v>
      </c>
      <c r="D1684" s="7">
        <v>33.271842960000001</v>
      </c>
      <c r="E1684" s="11">
        <v>63.927999999999997</v>
      </c>
      <c r="F1684" s="10">
        <f>Table1[[#This Row],[Life expectancy at birth, total (years) '[SP.DYN.LE00.IN']]]/Table1[[#This Row],[Current health expenditure per capita (current US$) '[SH.XPD.CHEX.PC.CD']]]</f>
        <v>1.9213843993209325</v>
      </c>
      <c r="G1684" s="4">
        <f>Table1[[#This Row],[Life expectancy at birth, total (years) '[SP.DYN.LE00.IN']]]/Table1[[#This Row],[Current health expenditure per capita (current US$) '[SH.XPD.CHEX.PC.CD']]]*1000</f>
        <v>1921.3843993209325</v>
      </c>
    </row>
    <row r="1685" spans="1:7" x14ac:dyDescent="0.25">
      <c r="A1685" s="5" t="s">
        <v>139</v>
      </c>
      <c r="B1685" s="6" t="s">
        <v>362</v>
      </c>
      <c r="C1685" s="5">
        <v>2016</v>
      </c>
      <c r="D1685" s="7">
        <v>36.652675629999997</v>
      </c>
      <c r="E1685" s="11">
        <v>64.403999999999996</v>
      </c>
      <c r="F1685" s="10">
        <f>Table1[[#This Row],[Life expectancy at birth, total (years) '[SP.DYN.LE00.IN']]]/Table1[[#This Row],[Current health expenditure per capita (current US$) '[SH.XPD.CHEX.PC.CD']]]</f>
        <v>1.7571432069555573</v>
      </c>
      <c r="G1685" s="4">
        <f>Table1[[#This Row],[Life expectancy at birth, total (years) '[SP.DYN.LE00.IN']]]/Table1[[#This Row],[Current health expenditure per capita (current US$) '[SH.XPD.CHEX.PC.CD']]]*1000</f>
        <v>1757.1432069555572</v>
      </c>
    </row>
    <row r="1686" spans="1:7" x14ac:dyDescent="0.25">
      <c r="A1686" s="5" t="s">
        <v>139</v>
      </c>
      <c r="B1686" s="6" t="s">
        <v>362</v>
      </c>
      <c r="C1686" s="5">
        <v>2017</v>
      </c>
      <c r="D1686" s="7">
        <v>39.037670140000003</v>
      </c>
      <c r="E1686" s="11">
        <v>64.962999999999994</v>
      </c>
      <c r="F1686" s="10">
        <f>Table1[[#This Row],[Life expectancy at birth, total (years) '[SP.DYN.LE00.IN']]]/Table1[[#This Row],[Current health expenditure per capita (current US$) '[SH.XPD.CHEX.PC.CD']]]</f>
        <v>1.6641105825994356</v>
      </c>
      <c r="G1686" s="4">
        <f>Table1[[#This Row],[Life expectancy at birth, total (years) '[SP.DYN.LE00.IN']]]/Table1[[#This Row],[Current health expenditure per capita (current US$) '[SH.XPD.CHEX.PC.CD']]]*1000</f>
        <v>1664.1105825994355</v>
      </c>
    </row>
    <row r="1687" spans="1:7" x14ac:dyDescent="0.25">
      <c r="A1687" s="5" t="s">
        <v>139</v>
      </c>
      <c r="B1687" s="6" t="s">
        <v>362</v>
      </c>
      <c r="C1687" s="5">
        <v>2018</v>
      </c>
      <c r="D1687" s="7">
        <v>41.271713259999999</v>
      </c>
      <c r="E1687" s="11">
        <v>65.488</v>
      </c>
      <c r="F1687" s="10">
        <f>Table1[[#This Row],[Life expectancy at birth, total (years) '[SP.DYN.LE00.IN']]]/Table1[[#This Row],[Current health expenditure per capita (current US$) '[SH.XPD.CHEX.PC.CD']]]</f>
        <v>1.5867526406632144</v>
      </c>
      <c r="G1687" s="4">
        <f>Table1[[#This Row],[Life expectancy at birth, total (years) '[SP.DYN.LE00.IN']]]/Table1[[#This Row],[Current health expenditure per capita (current US$) '[SH.XPD.CHEX.PC.CD']]]*1000</f>
        <v>1586.7526406632144</v>
      </c>
    </row>
    <row r="1688" spans="1:7" x14ac:dyDescent="0.25">
      <c r="A1688" s="5" t="s">
        <v>139</v>
      </c>
      <c r="B1688" s="6" t="s">
        <v>362</v>
      </c>
      <c r="C1688" s="5">
        <v>2019</v>
      </c>
      <c r="D1688" s="7">
        <v>39.977836609999997</v>
      </c>
      <c r="E1688" s="11">
        <v>66.007000000000005</v>
      </c>
      <c r="F1688" s="10">
        <f>Table1[[#This Row],[Life expectancy at birth, total (years) '[SP.DYN.LE00.IN']]]/Table1[[#This Row],[Current health expenditure per capita (current US$) '[SH.XPD.CHEX.PC.CD']]]</f>
        <v>1.6510898437032762</v>
      </c>
      <c r="G1688" s="4">
        <f>Table1[[#This Row],[Life expectancy at birth, total (years) '[SP.DYN.LE00.IN']]]/Table1[[#This Row],[Current health expenditure per capita (current US$) '[SH.XPD.CHEX.PC.CD']]]*1000</f>
        <v>1651.0898437032761</v>
      </c>
    </row>
    <row r="1689" spans="1:7" x14ac:dyDescent="0.25">
      <c r="A1689" s="5" t="s">
        <v>139</v>
      </c>
      <c r="B1689" s="6" t="s">
        <v>362</v>
      </c>
      <c r="C1689" s="5">
        <v>2020</v>
      </c>
      <c r="D1689" s="7">
        <v>31.703617099999999</v>
      </c>
      <c r="E1689" s="11">
        <v>66.771000000000001</v>
      </c>
      <c r="F1689" s="10">
        <f>Table1[[#This Row],[Life expectancy at birth, total (years) '[SP.DYN.LE00.IN']]]/Table1[[#This Row],[Current health expenditure per capita (current US$) '[SH.XPD.CHEX.PC.CD']]]</f>
        <v>2.1061003793160245</v>
      </c>
      <c r="G1689" s="4">
        <f>Table1[[#This Row],[Life expectancy at birth, total (years) '[SP.DYN.LE00.IN']]]/Table1[[#This Row],[Current health expenditure per capita (current US$) '[SH.XPD.CHEX.PC.CD']]]*1000</f>
        <v>2106.1003793160244</v>
      </c>
    </row>
    <row r="1690" spans="1:7" x14ac:dyDescent="0.25">
      <c r="A1690" s="5" t="s">
        <v>139</v>
      </c>
      <c r="B1690" s="6" t="s">
        <v>362</v>
      </c>
      <c r="C1690" s="5">
        <v>2021</v>
      </c>
      <c r="D1690" s="7">
        <v>37.531211849999998</v>
      </c>
      <c r="E1690" s="11">
        <v>66.131</v>
      </c>
      <c r="F1690" s="10">
        <f>Table1[[#This Row],[Life expectancy at birth, total (years) '[SP.DYN.LE00.IN']]]/Table1[[#This Row],[Current health expenditure per capita (current US$) '[SH.XPD.CHEX.PC.CD']]]</f>
        <v>1.7620267702600176</v>
      </c>
      <c r="G1690" s="4">
        <f>Table1[[#This Row],[Life expectancy at birth, total (years) '[SP.DYN.LE00.IN']]]/Table1[[#This Row],[Current health expenditure per capita (current US$) '[SH.XPD.CHEX.PC.CD']]]*1000</f>
        <v>1762.0267702600177</v>
      </c>
    </row>
    <row r="1691" spans="1:7" x14ac:dyDescent="0.25">
      <c r="A1691" s="5" t="s">
        <v>139</v>
      </c>
      <c r="B1691" s="6" t="s">
        <v>362</v>
      </c>
      <c r="C1691" s="5">
        <v>2022</v>
      </c>
      <c r="D1691" s="7">
        <v>35.93323135</v>
      </c>
      <c r="E1691" s="11">
        <v>66.879000000000005</v>
      </c>
      <c r="F1691" s="10">
        <f>Table1[[#This Row],[Life expectancy at birth, total (years) '[SP.DYN.LE00.IN']]]/Table1[[#This Row],[Current health expenditure per capita (current US$) '[SH.XPD.CHEX.PC.CD']]]</f>
        <v>1.8612019428082971</v>
      </c>
      <c r="G1691" s="4">
        <f>Table1[[#This Row],[Life expectancy at birth, total (years) '[SP.DYN.LE00.IN']]]/Table1[[#This Row],[Current health expenditure per capita (current US$) '[SH.XPD.CHEX.PC.CD']]]*1000</f>
        <v>1861.2019428082972</v>
      </c>
    </row>
    <row r="1692" spans="1:7" x14ac:dyDescent="0.25">
      <c r="A1692" s="5" t="s">
        <v>139</v>
      </c>
      <c r="B1692" s="6" t="s">
        <v>362</v>
      </c>
      <c r="C1692" s="5">
        <v>2023</v>
      </c>
      <c r="D1692" s="7">
        <v>36.256198879999999</v>
      </c>
      <c r="E1692" s="11">
        <v>66.995000000000005</v>
      </c>
      <c r="F1692" s="10">
        <f>Table1[[#This Row],[Life expectancy at birth, total (years) '[SP.DYN.LE00.IN']]]/Table1[[#This Row],[Current health expenditure per capita (current US$) '[SH.XPD.CHEX.PC.CD']]]</f>
        <v>1.8478219468548989</v>
      </c>
      <c r="G1692" s="4">
        <f>Table1[[#This Row],[Life expectancy at birth, total (years) '[SP.DYN.LE00.IN']]]/Table1[[#This Row],[Current health expenditure per capita (current US$) '[SH.XPD.CHEX.PC.CD']]]*1000</f>
        <v>1847.8219468548989</v>
      </c>
    </row>
    <row r="1693" spans="1:7" hidden="1" x14ac:dyDescent="0.25">
      <c r="B1693" s="1"/>
      <c r="D1693" s="3"/>
      <c r="E1693"/>
      <c r="F1693" t="e">
        <f>Table1[[#This Row],[Life expectancy at birth, total (years) '[SP.DYN.LE00.IN']]]/Table1[[#This Row],[Current health expenditure per capita (current US$) '[SH.XPD.CHEX.PC.CD']]]</f>
        <v>#DIV/0!</v>
      </c>
      <c r="G1693" s="2" t="e">
        <f>Table1[[#This Row],[Life expectancy at birth, total (years) '[SP.DYN.LE00.IN']]]/Table1[[#This Row],[Current health expenditure per capita (current US$) '[SH.XPD.CHEX.PC.CD']]]*1000</f>
        <v>#DIV/0!</v>
      </c>
    </row>
    <row r="1694" spans="1:7" x14ac:dyDescent="0.25">
      <c r="A1694" s="5" t="s">
        <v>412</v>
      </c>
      <c r="B1694" s="6" t="s">
        <v>263</v>
      </c>
      <c r="C1694" s="5">
        <v>2015</v>
      </c>
      <c r="D1694" s="7">
        <v>219.15092468</v>
      </c>
      <c r="E1694" s="11">
        <v>76.563000000000002</v>
      </c>
      <c r="F1694" s="10">
        <f>Table1[[#This Row],[Life expectancy at birth, total (years) '[SP.DYN.LE00.IN']]]/Table1[[#This Row],[Current health expenditure per capita (current US$) '[SH.XPD.CHEX.PC.CD']]]</f>
        <v>0.34936197559647914</v>
      </c>
      <c r="G1694" s="4">
        <f>Table1[[#This Row],[Life expectancy at birth, total (years) '[SP.DYN.LE00.IN']]]/Table1[[#This Row],[Current health expenditure per capita (current US$) '[SH.XPD.CHEX.PC.CD']]]*1000</f>
        <v>349.36197559647911</v>
      </c>
    </row>
    <row r="1695" spans="1:7" x14ac:dyDescent="0.25">
      <c r="A1695" s="5" t="s">
        <v>412</v>
      </c>
      <c r="B1695" s="6" t="s">
        <v>263</v>
      </c>
      <c r="C1695" s="5">
        <v>2016</v>
      </c>
      <c r="D1695" s="7">
        <v>229.7849884</v>
      </c>
      <c r="E1695" s="11">
        <v>76.769000000000005</v>
      </c>
      <c r="F1695" s="10">
        <f>Table1[[#This Row],[Life expectancy at birth, total (years) '[SP.DYN.LE00.IN']]]/Table1[[#This Row],[Current health expenditure per capita (current US$) '[SH.XPD.CHEX.PC.CD']]]</f>
        <v>0.33409057978306123</v>
      </c>
      <c r="G1695" s="4">
        <f>Table1[[#This Row],[Life expectancy at birth, total (years) '[SP.DYN.LE00.IN']]]/Table1[[#This Row],[Current health expenditure per capita (current US$) '[SH.XPD.CHEX.PC.CD']]]*1000</f>
        <v>334.09057978306123</v>
      </c>
    </row>
    <row r="1696" spans="1:7" x14ac:dyDescent="0.25">
      <c r="A1696" s="5" t="s">
        <v>412</v>
      </c>
      <c r="B1696" s="6" t="s">
        <v>263</v>
      </c>
      <c r="C1696" s="5">
        <v>2017</v>
      </c>
      <c r="D1696" s="7">
        <v>247.08152770999999</v>
      </c>
      <c r="E1696" s="11">
        <v>76.989000000000004</v>
      </c>
      <c r="F1696" s="10">
        <f>Table1[[#This Row],[Life expectancy at birth, total (years) '[SP.DYN.LE00.IN']]]/Table1[[#This Row],[Current health expenditure per capita (current US$) '[SH.XPD.CHEX.PC.CD']]]</f>
        <v>0.31159350807625785</v>
      </c>
      <c r="G1696" s="4">
        <f>Table1[[#This Row],[Life expectancy at birth, total (years) '[SP.DYN.LE00.IN']]]/Table1[[#This Row],[Current health expenditure per capita (current US$) '[SH.XPD.CHEX.PC.CD']]]*1000</f>
        <v>311.59350807625788</v>
      </c>
    </row>
    <row r="1697" spans="1:7" x14ac:dyDescent="0.25">
      <c r="A1697" s="5" t="s">
        <v>412</v>
      </c>
      <c r="B1697" s="6" t="s">
        <v>263</v>
      </c>
      <c r="C1697" s="5">
        <v>2018</v>
      </c>
      <c r="D1697" s="7">
        <v>274.71221924000002</v>
      </c>
      <c r="E1697" s="11">
        <v>77.19</v>
      </c>
      <c r="F1697" s="10">
        <f>Table1[[#This Row],[Life expectancy at birth, total (years) '[SP.DYN.LE00.IN']]]/Table1[[#This Row],[Current health expenditure per capita (current US$) '[SH.XPD.CHEX.PC.CD']]]</f>
        <v>0.28098495295749332</v>
      </c>
      <c r="G1697" s="4">
        <f>Table1[[#This Row],[Life expectancy at birth, total (years) '[SP.DYN.LE00.IN']]]/Table1[[#This Row],[Current health expenditure per capita (current US$) '[SH.XPD.CHEX.PC.CD']]]*1000</f>
        <v>280.98495295749331</v>
      </c>
    </row>
    <row r="1698" spans="1:7" x14ac:dyDescent="0.25">
      <c r="A1698" s="5" t="s">
        <v>412</v>
      </c>
      <c r="B1698" s="6" t="s">
        <v>263</v>
      </c>
      <c r="C1698" s="5">
        <v>2019</v>
      </c>
      <c r="D1698" s="7">
        <v>288.31097412000003</v>
      </c>
      <c r="E1698" s="11">
        <v>77.197000000000003</v>
      </c>
      <c r="F1698" s="10">
        <f>Table1[[#This Row],[Life expectancy at birth, total (years) '[SP.DYN.LE00.IN']]]/Table1[[#This Row],[Current health expenditure per capita (current US$) '[SH.XPD.CHEX.PC.CD']]]</f>
        <v>0.26775602363255613</v>
      </c>
      <c r="G1698" s="4">
        <f>Table1[[#This Row],[Life expectancy at birth, total (years) '[SP.DYN.LE00.IN']]]/Table1[[#This Row],[Current health expenditure per capita (current US$) '[SH.XPD.CHEX.PC.CD']]]*1000</f>
        <v>267.75602363255615</v>
      </c>
    </row>
    <row r="1699" spans="1:7" x14ac:dyDescent="0.25">
      <c r="A1699" s="5" t="s">
        <v>412</v>
      </c>
      <c r="B1699" s="6" t="s">
        <v>263</v>
      </c>
      <c r="C1699" s="5">
        <v>2020</v>
      </c>
      <c r="D1699" s="7">
        <v>304.38177489999998</v>
      </c>
      <c r="E1699" s="11">
        <v>77.331000000000003</v>
      </c>
      <c r="F1699" s="10">
        <f>Table1[[#This Row],[Life expectancy at birth, total (years) '[SP.DYN.LE00.IN']]]/Table1[[#This Row],[Current health expenditure per capita (current US$) '[SH.XPD.CHEX.PC.CD']]]</f>
        <v>0.25405923211206038</v>
      </c>
      <c r="G1699" s="4">
        <f>Table1[[#This Row],[Life expectancy at birth, total (years) '[SP.DYN.LE00.IN']]]/Table1[[#This Row],[Current health expenditure per capita (current US$) '[SH.XPD.CHEX.PC.CD']]]*1000</f>
        <v>254.05923211206039</v>
      </c>
    </row>
    <row r="1700" spans="1:7" x14ac:dyDescent="0.25">
      <c r="A1700" s="5" t="s">
        <v>412</v>
      </c>
      <c r="B1700" s="6" t="s">
        <v>263</v>
      </c>
      <c r="C1700" s="5">
        <v>2021</v>
      </c>
      <c r="D1700" s="7">
        <v>363.72845459000001</v>
      </c>
      <c r="E1700" s="11">
        <v>77.605999999999995</v>
      </c>
      <c r="F1700" s="10">
        <f>Table1[[#This Row],[Life expectancy at birth, total (years) '[SP.DYN.LE00.IN']]]/Table1[[#This Row],[Current health expenditure per capita (current US$) '[SH.XPD.CHEX.PC.CD']]]</f>
        <v>0.21336246592936647</v>
      </c>
      <c r="G1700" s="4">
        <f>Table1[[#This Row],[Life expectancy at birth, total (years) '[SP.DYN.LE00.IN']]]/Table1[[#This Row],[Current health expenditure per capita (current US$) '[SH.XPD.CHEX.PC.CD']]]*1000</f>
        <v>213.36246592936646</v>
      </c>
    </row>
    <row r="1701" spans="1:7" x14ac:dyDescent="0.25">
      <c r="A1701" s="5" t="s">
        <v>412</v>
      </c>
      <c r="B1701" s="6" t="s">
        <v>263</v>
      </c>
      <c r="C1701" s="5">
        <v>2022</v>
      </c>
      <c r="D1701" s="7">
        <v>369.97647095000002</v>
      </c>
      <c r="E1701" s="11">
        <v>75.290999999999997</v>
      </c>
      <c r="F1701" s="10">
        <f>Table1[[#This Row],[Life expectancy at birth, total (years) '[SP.DYN.LE00.IN']]]/Table1[[#This Row],[Current health expenditure per capita (current US$) '[SH.XPD.CHEX.PC.CD']]]</f>
        <v>0.20350213030215941</v>
      </c>
      <c r="G1701" s="4">
        <f>Table1[[#This Row],[Life expectancy at birth, total (years) '[SP.DYN.LE00.IN']]]/Table1[[#This Row],[Current health expenditure per capita (current US$) '[SH.XPD.CHEX.PC.CD']]]*1000</f>
        <v>203.5021303021594</v>
      </c>
    </row>
    <row r="1702" spans="1:7" x14ac:dyDescent="0.25">
      <c r="A1702" s="5" t="s">
        <v>412</v>
      </c>
      <c r="B1702" s="6" t="s">
        <v>263</v>
      </c>
      <c r="C1702" s="5">
        <v>2023</v>
      </c>
      <c r="D1702" s="7">
        <v>326.50482177999999</v>
      </c>
      <c r="E1702" s="11">
        <v>76.412000000000006</v>
      </c>
      <c r="F1702" s="10">
        <f>Table1[[#This Row],[Life expectancy at birth, total (years) '[SP.DYN.LE00.IN']]]/Table1[[#This Row],[Current health expenditure per capita (current US$) '[SH.XPD.CHEX.PC.CD']]]</f>
        <v>0.23403023447992649</v>
      </c>
      <c r="G1702" s="4">
        <f>Table1[[#This Row],[Life expectancy at birth, total (years) '[SP.DYN.LE00.IN']]]/Table1[[#This Row],[Current health expenditure per capita (current US$) '[SH.XPD.CHEX.PC.CD']]]*1000</f>
        <v>234.03023447992649</v>
      </c>
    </row>
    <row r="1703" spans="1:7" hidden="1" x14ac:dyDescent="0.25">
      <c r="B1703" s="1"/>
      <c r="D1703" s="3"/>
      <c r="E1703"/>
      <c r="F1703" t="e">
        <f>Table1[[#This Row],[Life expectancy at birth, total (years) '[SP.DYN.LE00.IN']]]/Table1[[#This Row],[Current health expenditure per capita (current US$) '[SH.XPD.CHEX.PC.CD']]]</f>
        <v>#DIV/0!</v>
      </c>
      <c r="G1703" s="2" t="e">
        <f>Table1[[#This Row],[Life expectancy at birth, total (years) '[SP.DYN.LE00.IN']]]/Table1[[#This Row],[Current health expenditure per capita (current US$) '[SH.XPD.CHEX.PC.CD']]]*1000</f>
        <v>#DIV/0!</v>
      </c>
    </row>
    <row r="1704" spans="1:7" x14ac:dyDescent="0.25">
      <c r="A1704" s="5" t="s">
        <v>24</v>
      </c>
      <c r="B1704" s="6" t="s">
        <v>264</v>
      </c>
      <c r="C1704" s="5">
        <v>2015</v>
      </c>
      <c r="D1704" s="7">
        <v>101.4779892</v>
      </c>
      <c r="E1704" s="11">
        <v>65.325999999999993</v>
      </c>
      <c r="F1704" s="10">
        <f>Table1[[#This Row],[Life expectancy at birth, total (years) '[SP.DYN.LE00.IN']]]/Table1[[#This Row],[Current health expenditure per capita (current US$) '[SH.XPD.CHEX.PC.CD']]]</f>
        <v>0.64374551087380039</v>
      </c>
      <c r="G1704" s="4">
        <f>Table1[[#This Row],[Life expectancy at birth, total (years) '[SP.DYN.LE00.IN']]]/Table1[[#This Row],[Current health expenditure per capita (current US$) '[SH.XPD.CHEX.PC.CD']]]*1000</f>
        <v>643.74551087380041</v>
      </c>
    </row>
    <row r="1705" spans="1:7" x14ac:dyDescent="0.25">
      <c r="A1705" s="5" t="s">
        <v>24</v>
      </c>
      <c r="B1705" s="6" t="s">
        <v>264</v>
      </c>
      <c r="C1705" s="5">
        <v>2016</v>
      </c>
      <c r="D1705" s="7">
        <v>92.694007869999993</v>
      </c>
      <c r="E1705" s="11">
        <v>65.61</v>
      </c>
      <c r="F1705" s="10">
        <f>Table1[[#This Row],[Life expectancy at birth, total (years) '[SP.DYN.LE00.IN']]]/Table1[[#This Row],[Current health expenditure per capita (current US$) '[SH.XPD.CHEX.PC.CD']]]</f>
        <v>0.70781274332226163</v>
      </c>
      <c r="G1705" s="4">
        <f>Table1[[#This Row],[Life expectancy at birth, total (years) '[SP.DYN.LE00.IN']]]/Table1[[#This Row],[Current health expenditure per capita (current US$) '[SH.XPD.CHEX.PC.CD']]]*1000</f>
        <v>707.81274332226167</v>
      </c>
    </row>
    <row r="1706" spans="1:7" x14ac:dyDescent="0.25">
      <c r="A1706" s="5" t="s">
        <v>24</v>
      </c>
      <c r="B1706" s="6" t="s">
        <v>264</v>
      </c>
      <c r="C1706" s="5">
        <v>2017</v>
      </c>
      <c r="D1706" s="7">
        <v>86.162696839999995</v>
      </c>
      <c r="E1706" s="11">
        <v>65.897999999999996</v>
      </c>
      <c r="F1706" s="10">
        <f>Table1[[#This Row],[Life expectancy at birth, total (years) '[SP.DYN.LE00.IN']]]/Table1[[#This Row],[Current health expenditure per capita (current US$) '[SH.XPD.CHEX.PC.CD']]]</f>
        <v>0.76480893027721064</v>
      </c>
      <c r="G1706" s="4">
        <f>Table1[[#This Row],[Life expectancy at birth, total (years) '[SP.DYN.LE00.IN']]]/Table1[[#This Row],[Current health expenditure per capita (current US$) '[SH.XPD.CHEX.PC.CD']]]*1000</f>
        <v>764.80893027721061</v>
      </c>
    </row>
    <row r="1707" spans="1:7" x14ac:dyDescent="0.25">
      <c r="A1707" s="5" t="s">
        <v>24</v>
      </c>
      <c r="B1707" s="6" t="s">
        <v>264</v>
      </c>
      <c r="C1707" s="5">
        <v>2018</v>
      </c>
      <c r="D1707" s="7">
        <v>78.074134830000006</v>
      </c>
      <c r="E1707" s="11">
        <v>66.203999999999994</v>
      </c>
      <c r="F1707" s="10">
        <f>Table1[[#This Row],[Life expectancy at birth, total (years) '[SP.DYN.LE00.IN']]]/Table1[[#This Row],[Current health expenditure per capita (current US$) '[SH.XPD.CHEX.PC.CD']]]</f>
        <v>0.84796328699836054</v>
      </c>
      <c r="G1707" s="4">
        <f>Table1[[#This Row],[Life expectancy at birth, total (years) '[SP.DYN.LE00.IN']]]/Table1[[#This Row],[Current health expenditure per capita (current US$) '[SH.XPD.CHEX.PC.CD']]]*1000</f>
        <v>847.96328699836056</v>
      </c>
    </row>
    <row r="1708" spans="1:7" x14ac:dyDescent="0.25">
      <c r="A1708" s="5" t="s">
        <v>24</v>
      </c>
      <c r="B1708" s="6" t="s">
        <v>264</v>
      </c>
      <c r="C1708" s="5">
        <v>2019</v>
      </c>
      <c r="D1708" s="7">
        <v>78.013465879999998</v>
      </c>
      <c r="E1708" s="11">
        <v>66.495999999999995</v>
      </c>
      <c r="F1708" s="10">
        <f>Table1[[#This Row],[Life expectancy at birth, total (years) '[SP.DYN.LE00.IN']]]/Table1[[#This Row],[Current health expenditure per capita (current US$) '[SH.XPD.CHEX.PC.CD']]]</f>
        <v>0.85236566854091411</v>
      </c>
      <c r="G1708" s="4">
        <f>Table1[[#This Row],[Life expectancy at birth, total (years) '[SP.DYN.LE00.IN']]]/Table1[[#This Row],[Current health expenditure per capita (current US$) '[SH.XPD.CHEX.PC.CD']]]*1000</f>
        <v>852.36566854091416</v>
      </c>
    </row>
    <row r="1709" spans="1:7" x14ac:dyDescent="0.25">
      <c r="A1709" s="5" t="s">
        <v>24</v>
      </c>
      <c r="B1709" s="6" t="s">
        <v>264</v>
      </c>
      <c r="C1709" s="5">
        <v>2020</v>
      </c>
      <c r="D1709" s="7">
        <v>118.49451447</v>
      </c>
      <c r="E1709" s="11">
        <v>66.918999999999997</v>
      </c>
      <c r="F1709" s="10">
        <f>Table1[[#This Row],[Life expectancy at birth, total (years) '[SP.DYN.LE00.IN']]]/Table1[[#This Row],[Current health expenditure per capita (current US$) '[SH.XPD.CHEX.PC.CD']]]</f>
        <v>0.56474344233835649</v>
      </c>
      <c r="G1709" s="4">
        <f>Table1[[#This Row],[Life expectancy at birth, total (years) '[SP.DYN.LE00.IN']]]/Table1[[#This Row],[Current health expenditure per capita (current US$) '[SH.XPD.CHEX.PC.CD']]]*1000</f>
        <v>564.74344233835654</v>
      </c>
    </row>
    <row r="1710" spans="1:7" x14ac:dyDescent="0.25">
      <c r="A1710" s="5" t="s">
        <v>24</v>
      </c>
      <c r="B1710" s="6" t="s">
        <v>264</v>
      </c>
      <c r="C1710" s="5">
        <v>2021</v>
      </c>
      <c r="D1710" s="7">
        <v>132.07870482999999</v>
      </c>
      <c r="E1710" s="11">
        <v>66.198999999999998</v>
      </c>
      <c r="F1710" s="10">
        <f>Table1[[#This Row],[Life expectancy at birth, total (years) '[SP.DYN.LE00.IN']]]/Table1[[#This Row],[Current health expenditure per capita (current US$) '[SH.XPD.CHEX.PC.CD']]]</f>
        <v>0.50120873069739358</v>
      </c>
      <c r="G1710" s="4">
        <f>Table1[[#This Row],[Life expectancy at birth, total (years) '[SP.DYN.LE00.IN']]]/Table1[[#This Row],[Current health expenditure per capita (current US$) '[SH.XPD.CHEX.PC.CD']]]*1000</f>
        <v>501.20873069739361</v>
      </c>
    </row>
    <row r="1711" spans="1:7" x14ac:dyDescent="0.25">
      <c r="A1711" s="5" t="s">
        <v>24</v>
      </c>
      <c r="B1711" s="6" t="s">
        <v>264</v>
      </c>
      <c r="C1711" s="5">
        <v>2022</v>
      </c>
      <c r="D1711" s="7">
        <v>174.91529846</v>
      </c>
      <c r="E1711" s="11">
        <v>67.367999999999995</v>
      </c>
      <c r="F1711" s="10">
        <f>Table1[[#This Row],[Life expectancy at birth, total (years) '[SP.DYN.LE00.IN']]]/Table1[[#This Row],[Current health expenditure per capita (current US$) '[SH.XPD.CHEX.PC.CD']]]</f>
        <v>0.38514641425378726</v>
      </c>
      <c r="G1711" s="4">
        <f>Table1[[#This Row],[Life expectancy at birth, total (years) '[SP.DYN.LE00.IN']]]/Table1[[#This Row],[Current health expenditure per capita (current US$) '[SH.XPD.CHEX.PC.CD']]]*1000</f>
        <v>385.14641425378727</v>
      </c>
    </row>
    <row r="1712" spans="1:7" x14ac:dyDescent="0.25">
      <c r="A1712" s="5" t="s">
        <v>24</v>
      </c>
      <c r="B1712" s="6" t="s">
        <v>264</v>
      </c>
      <c r="C1712" s="5">
        <v>2023</v>
      </c>
      <c r="D1712" s="7">
        <v>144.21452332000001</v>
      </c>
      <c r="E1712" s="11">
        <v>67.688999999999993</v>
      </c>
      <c r="F1712" s="10">
        <f>Table1[[#This Row],[Life expectancy at birth, total (years) '[SP.DYN.LE00.IN']]]/Table1[[#This Row],[Current health expenditure per capita (current US$) '[SH.XPD.CHEX.PC.CD']]]</f>
        <v>0.46936326828750624</v>
      </c>
      <c r="G1712" s="4">
        <f>Table1[[#This Row],[Life expectancy at birth, total (years) '[SP.DYN.LE00.IN']]]/Table1[[#This Row],[Current health expenditure per capita (current US$) '[SH.XPD.CHEX.PC.CD']]]*1000</f>
        <v>469.36326828750623</v>
      </c>
    </row>
    <row r="1713" spans="1:7" hidden="1" x14ac:dyDescent="0.25">
      <c r="B1713" s="1"/>
      <c r="D1713" s="3"/>
      <c r="E1713"/>
      <c r="F1713" t="e">
        <f>Table1[[#This Row],[Life expectancy at birth, total (years) '[SP.DYN.LE00.IN']]]/Table1[[#This Row],[Current health expenditure per capita (current US$) '[SH.XPD.CHEX.PC.CD']]]</f>
        <v>#DIV/0!</v>
      </c>
      <c r="G1713" s="2" t="e">
        <f>Table1[[#This Row],[Life expectancy at birth, total (years) '[SP.DYN.LE00.IN']]]/Table1[[#This Row],[Current health expenditure per capita (current US$) '[SH.XPD.CHEX.PC.CD']]]*1000</f>
        <v>#DIV/0!</v>
      </c>
    </row>
    <row r="1714" spans="1:7" x14ac:dyDescent="0.25">
      <c r="A1714" s="5" t="s">
        <v>101</v>
      </c>
      <c r="B1714" s="6" t="s">
        <v>222</v>
      </c>
      <c r="C1714" s="5">
        <v>2015</v>
      </c>
      <c r="D1714" s="7">
        <v>46.921108250000003</v>
      </c>
      <c r="E1714" s="11">
        <v>59.22</v>
      </c>
      <c r="F1714" s="10">
        <f>Table1[[#This Row],[Life expectancy at birth, total (years) '[SP.DYN.LE00.IN']]]/Table1[[#This Row],[Current health expenditure per capita (current US$) '[SH.XPD.CHEX.PC.CD']]]</f>
        <v>1.2621185263670747</v>
      </c>
      <c r="G1714" s="4">
        <f>Table1[[#This Row],[Life expectancy at birth, total (years) '[SP.DYN.LE00.IN']]]/Table1[[#This Row],[Current health expenditure per capita (current US$) '[SH.XPD.CHEX.PC.CD']]]*1000</f>
        <v>1262.1185263670748</v>
      </c>
    </row>
    <row r="1715" spans="1:7" x14ac:dyDescent="0.25">
      <c r="A1715" s="5" t="s">
        <v>101</v>
      </c>
      <c r="B1715" s="6" t="s">
        <v>222</v>
      </c>
      <c r="C1715" s="5">
        <v>2016</v>
      </c>
      <c r="D1715" s="7">
        <v>50.878349299999996</v>
      </c>
      <c r="E1715" s="11">
        <v>59.668999999999997</v>
      </c>
      <c r="F1715" s="10">
        <f>Table1[[#This Row],[Life expectancy at birth, total (years) '[SP.DYN.LE00.IN']]]/Table1[[#This Row],[Current health expenditure per capita (current US$) '[SH.XPD.CHEX.PC.CD']]]</f>
        <v>1.1727778283089856</v>
      </c>
      <c r="G1715" s="4">
        <f>Table1[[#This Row],[Life expectancy at birth, total (years) '[SP.DYN.LE00.IN']]]/Table1[[#This Row],[Current health expenditure per capita (current US$) '[SH.XPD.CHEX.PC.CD']]]*1000</f>
        <v>1172.7778283089856</v>
      </c>
    </row>
    <row r="1716" spans="1:7" x14ac:dyDescent="0.25">
      <c r="A1716" s="5" t="s">
        <v>101</v>
      </c>
      <c r="B1716" s="6" t="s">
        <v>222</v>
      </c>
      <c r="C1716" s="5">
        <v>2017</v>
      </c>
      <c r="D1716" s="7">
        <v>51.546459200000001</v>
      </c>
      <c r="E1716" s="11">
        <v>60.134999999999998</v>
      </c>
      <c r="F1716" s="10">
        <f>Table1[[#This Row],[Life expectancy at birth, total (years) '[SP.DYN.LE00.IN']]]/Table1[[#This Row],[Current health expenditure per capita (current US$) '[SH.XPD.CHEX.PC.CD']]]</f>
        <v>1.1666174735043682</v>
      </c>
      <c r="G1716" s="4">
        <f>Table1[[#This Row],[Life expectancy at birth, total (years) '[SP.DYN.LE00.IN']]]/Table1[[#This Row],[Current health expenditure per capita (current US$) '[SH.XPD.CHEX.PC.CD']]]*1000</f>
        <v>1166.6174735043683</v>
      </c>
    </row>
    <row r="1717" spans="1:7" x14ac:dyDescent="0.25">
      <c r="A1717" s="5" t="s">
        <v>101</v>
      </c>
      <c r="B1717" s="6" t="s">
        <v>222</v>
      </c>
      <c r="C1717" s="5">
        <v>2018</v>
      </c>
      <c r="D1717" s="7">
        <v>52.43610382</v>
      </c>
      <c r="E1717" s="11">
        <v>60.600999999999999</v>
      </c>
      <c r="F1717" s="10">
        <f>Table1[[#This Row],[Life expectancy at birth, total (years) '[SP.DYN.LE00.IN']]]/Table1[[#This Row],[Current health expenditure per capita (current US$) '[SH.XPD.CHEX.PC.CD']]]</f>
        <v>1.155711343619809</v>
      </c>
      <c r="G1717" s="4">
        <f>Table1[[#This Row],[Life expectancy at birth, total (years) '[SP.DYN.LE00.IN']]]/Table1[[#This Row],[Current health expenditure per capita (current US$) '[SH.XPD.CHEX.PC.CD']]]*1000</f>
        <v>1155.711343619809</v>
      </c>
    </row>
    <row r="1718" spans="1:7" x14ac:dyDescent="0.25">
      <c r="A1718" s="5" t="s">
        <v>101</v>
      </c>
      <c r="B1718" s="6" t="s">
        <v>222</v>
      </c>
      <c r="C1718" s="5">
        <v>2019</v>
      </c>
      <c r="D1718" s="7">
        <v>48.853874210000001</v>
      </c>
      <c r="E1718" s="11">
        <v>61.055</v>
      </c>
      <c r="F1718" s="10">
        <f>Table1[[#This Row],[Life expectancy at birth, total (years) '[SP.DYN.LE00.IN']]]/Table1[[#This Row],[Current health expenditure per capita (current US$) '[SH.XPD.CHEX.PC.CD']]]</f>
        <v>1.2497473534555941</v>
      </c>
      <c r="G1718" s="4">
        <f>Table1[[#This Row],[Life expectancy at birth, total (years) '[SP.DYN.LE00.IN']]]/Table1[[#This Row],[Current health expenditure per capita (current US$) '[SH.XPD.CHEX.PC.CD']]]*1000</f>
        <v>1249.7473534555941</v>
      </c>
    </row>
    <row r="1719" spans="1:7" x14ac:dyDescent="0.25">
      <c r="A1719" s="5" t="s">
        <v>101</v>
      </c>
      <c r="B1719" s="6" t="s">
        <v>222</v>
      </c>
      <c r="C1719" s="5">
        <v>2020</v>
      </c>
      <c r="D1719" s="7">
        <v>52.752132420000002</v>
      </c>
      <c r="E1719" s="11">
        <v>61.122999999999998</v>
      </c>
      <c r="F1719" s="10">
        <f>Table1[[#This Row],[Life expectancy at birth, total (years) '[SP.DYN.LE00.IN']]]/Table1[[#This Row],[Current health expenditure per capita (current US$) '[SH.XPD.CHEX.PC.CD']]]</f>
        <v>1.1586830180314442</v>
      </c>
      <c r="G1719" s="4">
        <f>Table1[[#This Row],[Life expectancy at birth, total (years) '[SP.DYN.LE00.IN']]]/Table1[[#This Row],[Current health expenditure per capita (current US$) '[SH.XPD.CHEX.PC.CD']]]*1000</f>
        <v>1158.6830180314441</v>
      </c>
    </row>
    <row r="1720" spans="1:7" x14ac:dyDescent="0.25">
      <c r="A1720" s="5" t="s">
        <v>101</v>
      </c>
      <c r="B1720" s="6" t="s">
        <v>222</v>
      </c>
      <c r="C1720" s="5">
        <v>2021</v>
      </c>
      <c r="D1720" s="7">
        <v>52.722370150000003</v>
      </c>
      <c r="E1720" s="11">
        <v>61.328000000000003</v>
      </c>
      <c r="F1720" s="10">
        <f>Table1[[#This Row],[Life expectancy at birth, total (years) '[SP.DYN.LE00.IN']]]/Table1[[#This Row],[Current health expenditure per capita (current US$) '[SH.XPD.CHEX.PC.CD']]]</f>
        <v>1.1632253979765361</v>
      </c>
      <c r="G1720" s="4">
        <f>Table1[[#This Row],[Life expectancy at birth, total (years) '[SP.DYN.LE00.IN']]]/Table1[[#This Row],[Current health expenditure per capita (current US$) '[SH.XPD.CHEX.PC.CD']]]*1000</f>
        <v>1163.2253979765362</v>
      </c>
    </row>
    <row r="1721" spans="1:7" x14ac:dyDescent="0.25">
      <c r="A1721" s="5" t="s">
        <v>101</v>
      </c>
      <c r="B1721" s="6" t="s">
        <v>222</v>
      </c>
      <c r="C1721" s="5">
        <v>2022</v>
      </c>
      <c r="D1721" s="7">
        <v>55.795455930000003</v>
      </c>
      <c r="E1721" s="11">
        <v>62.29</v>
      </c>
      <c r="F1721" s="10">
        <f>Table1[[#This Row],[Life expectancy at birth, total (years) '[SP.DYN.LE00.IN']]]/Table1[[#This Row],[Current health expenditure per capita (current US$) '[SH.XPD.CHEX.PC.CD']]]</f>
        <v>1.1163991576329788</v>
      </c>
      <c r="G1721" s="4">
        <f>Table1[[#This Row],[Life expectancy at birth, total (years) '[SP.DYN.LE00.IN']]]/Table1[[#This Row],[Current health expenditure per capita (current US$) '[SH.XPD.CHEX.PC.CD']]]*1000</f>
        <v>1116.3991576329788</v>
      </c>
    </row>
    <row r="1722" spans="1:7" x14ac:dyDescent="0.25">
      <c r="A1722" s="5" t="s">
        <v>101</v>
      </c>
      <c r="B1722" s="6" t="s">
        <v>222</v>
      </c>
      <c r="C1722" s="5">
        <v>2023</v>
      </c>
      <c r="D1722" s="7">
        <v>59.605037690000003</v>
      </c>
      <c r="E1722" s="11">
        <v>62.738999999999997</v>
      </c>
      <c r="F1722" s="10">
        <f>Table1[[#This Row],[Life expectancy at birth, total (years) '[SP.DYN.LE00.IN']]]/Table1[[#This Row],[Current health expenditure per capita (current US$) '[SH.XPD.CHEX.PC.CD']]]</f>
        <v>1.0525788160104759</v>
      </c>
      <c r="G1722" s="4">
        <f>Table1[[#This Row],[Life expectancy at birth, total (years) '[SP.DYN.LE00.IN']]]/Table1[[#This Row],[Current health expenditure per capita (current US$) '[SH.XPD.CHEX.PC.CD']]]*1000</f>
        <v>1052.578816010476</v>
      </c>
    </row>
    <row r="1723" spans="1:7" hidden="1" x14ac:dyDescent="0.25">
      <c r="B1723" s="1"/>
      <c r="D1723" s="3"/>
      <c r="E1723"/>
      <c r="F1723" t="e">
        <f>Table1[[#This Row],[Life expectancy at birth, total (years) '[SP.DYN.LE00.IN']]]/Table1[[#This Row],[Current health expenditure per capita (current US$) '[SH.XPD.CHEX.PC.CD']]]</f>
        <v>#DIV/0!</v>
      </c>
      <c r="G1723" s="2" t="e">
        <f>Table1[[#This Row],[Life expectancy at birth, total (years) '[SP.DYN.LE00.IN']]]/Table1[[#This Row],[Current health expenditure per capita (current US$) '[SH.XPD.CHEX.PC.CD']]]*1000</f>
        <v>#DIV/0!</v>
      </c>
    </row>
    <row r="1724" spans="1:7" x14ac:dyDescent="0.25">
      <c r="A1724" s="5" t="s">
        <v>354</v>
      </c>
      <c r="B1724" s="6" t="s">
        <v>296</v>
      </c>
      <c r="C1724" s="5">
        <v>2015</v>
      </c>
      <c r="D1724" s="7">
        <v>181.91452025999999</v>
      </c>
      <c r="E1724" s="11">
        <v>71.850999999999999</v>
      </c>
      <c r="F1724" s="10">
        <f>Table1[[#This Row],[Life expectancy at birth, total (years) '[SP.DYN.LE00.IN']]]/Table1[[#This Row],[Current health expenditure per capita (current US$) '[SH.XPD.CHEX.PC.CD']]]</f>
        <v>0.39497121998457013</v>
      </c>
      <c r="G1724" s="4">
        <f>Table1[[#This Row],[Life expectancy at birth, total (years) '[SP.DYN.LE00.IN']]]/Table1[[#This Row],[Current health expenditure per capita (current US$) '[SH.XPD.CHEX.PC.CD']]]*1000</f>
        <v>394.97121998457015</v>
      </c>
    </row>
    <row r="1725" spans="1:7" x14ac:dyDescent="0.25">
      <c r="A1725" s="5" t="s">
        <v>354</v>
      </c>
      <c r="B1725" s="6" t="s">
        <v>296</v>
      </c>
      <c r="C1725" s="5">
        <v>2016</v>
      </c>
      <c r="D1725" s="7">
        <v>208.53982543999999</v>
      </c>
      <c r="E1725" s="11">
        <v>71.950999999999993</v>
      </c>
      <c r="F1725" s="10">
        <f>Table1[[#This Row],[Life expectancy at birth, total (years) '[SP.DYN.LE00.IN']]]/Table1[[#This Row],[Current health expenditure per capita (current US$) '[SH.XPD.CHEX.PC.CD']]]</f>
        <v>0.34502282644665094</v>
      </c>
      <c r="G1725" s="4">
        <f>Table1[[#This Row],[Life expectancy at birth, total (years) '[SP.DYN.LE00.IN']]]/Table1[[#This Row],[Current health expenditure per capita (current US$) '[SH.XPD.CHEX.PC.CD']]]*1000</f>
        <v>345.02282644665092</v>
      </c>
    </row>
    <row r="1726" spans="1:7" x14ac:dyDescent="0.25">
      <c r="A1726" s="5" t="s">
        <v>354</v>
      </c>
      <c r="B1726" s="6" t="s">
        <v>296</v>
      </c>
      <c r="C1726" s="5">
        <v>2017</v>
      </c>
      <c r="D1726" s="7">
        <v>246.34036255000001</v>
      </c>
      <c r="E1726" s="11">
        <v>72.066000000000003</v>
      </c>
      <c r="F1726" s="10">
        <f>Table1[[#This Row],[Life expectancy at birth, total (years) '[SP.DYN.LE00.IN']]]/Table1[[#This Row],[Current health expenditure per capita (current US$) '[SH.XPD.CHEX.PC.CD']]]</f>
        <v>0.29254645586296352</v>
      </c>
      <c r="G1726" s="4">
        <f>Table1[[#This Row],[Life expectancy at birth, total (years) '[SP.DYN.LE00.IN']]]/Table1[[#This Row],[Current health expenditure per capita (current US$) '[SH.XPD.CHEX.PC.CD']]]*1000</f>
        <v>292.54645586296351</v>
      </c>
    </row>
    <row r="1727" spans="1:7" x14ac:dyDescent="0.25">
      <c r="A1727" s="5" t="s">
        <v>354</v>
      </c>
      <c r="B1727" s="6" t="s">
        <v>296</v>
      </c>
      <c r="C1727" s="5">
        <v>2018</v>
      </c>
      <c r="D1727" s="7">
        <v>278.49508666999998</v>
      </c>
      <c r="E1727" s="11">
        <v>72.168999999999997</v>
      </c>
      <c r="F1727" s="10">
        <f>Table1[[#This Row],[Life expectancy at birth, total (years) '[SP.DYN.LE00.IN']]]/Table1[[#This Row],[Current health expenditure per capita (current US$) '[SH.XPD.CHEX.PC.CD']]]</f>
        <v>0.25913922167508807</v>
      </c>
      <c r="G1727" s="4">
        <f>Table1[[#This Row],[Life expectancy at birth, total (years) '[SP.DYN.LE00.IN']]]/Table1[[#This Row],[Current health expenditure per capita (current US$) '[SH.XPD.CHEX.PC.CD']]]*1000</f>
        <v>259.13922167508809</v>
      </c>
    </row>
    <row r="1728" spans="1:7" x14ac:dyDescent="0.25">
      <c r="A1728" s="5" t="s">
        <v>354</v>
      </c>
      <c r="B1728" s="6" t="s">
        <v>296</v>
      </c>
      <c r="C1728" s="5">
        <v>2019</v>
      </c>
      <c r="D1728" s="7">
        <v>266.68792724999997</v>
      </c>
      <c r="E1728" s="11">
        <v>72.292000000000002</v>
      </c>
      <c r="F1728" s="10">
        <f>Table1[[#This Row],[Life expectancy at birth, total (years) '[SP.DYN.LE00.IN']]]/Table1[[#This Row],[Current health expenditure per capita (current US$) '[SH.XPD.CHEX.PC.CD']]]</f>
        <v>0.27107338808116221</v>
      </c>
      <c r="G1728" s="4">
        <f>Table1[[#This Row],[Life expectancy at birth, total (years) '[SP.DYN.LE00.IN']]]/Table1[[#This Row],[Current health expenditure per capita (current US$) '[SH.XPD.CHEX.PC.CD']]]*1000</f>
        <v>271.07338808116219</v>
      </c>
    </row>
    <row r="1729" spans="1:7" x14ac:dyDescent="0.25">
      <c r="A1729" s="5" t="s">
        <v>354</v>
      </c>
      <c r="B1729" s="6" t="s">
        <v>296</v>
      </c>
      <c r="C1729" s="5">
        <v>2020</v>
      </c>
      <c r="D1729" s="7">
        <v>262.55459595000002</v>
      </c>
      <c r="E1729" s="11">
        <v>72.379000000000005</v>
      </c>
      <c r="F1729" s="10">
        <f>Table1[[#This Row],[Life expectancy at birth, total (years) '[SP.DYN.LE00.IN']]]/Table1[[#This Row],[Current health expenditure per capita (current US$) '[SH.XPD.CHEX.PC.CD']]]</f>
        <v>0.27567218824759637</v>
      </c>
      <c r="G1729" s="4">
        <f>Table1[[#This Row],[Life expectancy at birth, total (years) '[SP.DYN.LE00.IN']]]/Table1[[#This Row],[Current health expenditure per capita (current US$) '[SH.XPD.CHEX.PC.CD']]]*1000</f>
        <v>275.67218824759635</v>
      </c>
    </row>
    <row r="1730" spans="1:7" x14ac:dyDescent="0.25">
      <c r="A1730" s="5" t="s">
        <v>354</v>
      </c>
      <c r="B1730" s="6" t="s">
        <v>296</v>
      </c>
      <c r="C1730" s="5">
        <v>2021</v>
      </c>
      <c r="D1730" s="7">
        <v>348.79745482999999</v>
      </c>
      <c r="E1730" s="11">
        <v>72.13</v>
      </c>
      <c r="F1730" s="10">
        <f>Table1[[#This Row],[Life expectancy at birth, total (years) '[SP.DYN.LE00.IN']]]/Table1[[#This Row],[Current health expenditure per capita (current US$) '[SH.XPD.CHEX.PC.CD']]]</f>
        <v>0.2067962337487679</v>
      </c>
      <c r="G1730" s="4">
        <f>Table1[[#This Row],[Life expectancy at birth, total (years) '[SP.DYN.LE00.IN']]]/Table1[[#This Row],[Current health expenditure per capita (current US$) '[SH.XPD.CHEX.PC.CD']]]*1000</f>
        <v>206.79623374876792</v>
      </c>
    </row>
    <row r="1731" spans="1:7" x14ac:dyDescent="0.25">
      <c r="A1731" s="5" t="s">
        <v>354</v>
      </c>
      <c r="B1731" s="6" t="s">
        <v>296</v>
      </c>
      <c r="C1731" s="5">
        <v>2022</v>
      </c>
      <c r="D1731" s="7">
        <v>382.79116821000002</v>
      </c>
      <c r="E1731" s="11">
        <v>72.635000000000005</v>
      </c>
      <c r="F1731" s="10">
        <f>Table1[[#This Row],[Life expectancy at birth, total (years) '[SP.DYN.LE00.IN']]]/Table1[[#This Row],[Current health expenditure per capita (current US$) '[SH.XPD.CHEX.PC.CD']]]</f>
        <v>0.18975098182033368</v>
      </c>
      <c r="G1731" s="4">
        <f>Table1[[#This Row],[Life expectancy at birth, total (years) '[SP.DYN.LE00.IN']]]/Table1[[#This Row],[Current health expenditure per capita (current US$) '[SH.XPD.CHEX.PC.CD']]]*1000</f>
        <v>189.75098182033366</v>
      </c>
    </row>
    <row r="1732" spans="1:7" x14ac:dyDescent="0.25">
      <c r="A1732" s="5" t="s">
        <v>354</v>
      </c>
      <c r="B1732" s="6" t="s">
        <v>296</v>
      </c>
      <c r="C1732" s="5">
        <v>2023</v>
      </c>
      <c r="D1732" s="7">
        <v>357.54415893999999</v>
      </c>
      <c r="E1732" s="11">
        <v>72.894999999999996</v>
      </c>
      <c r="F1732" s="10">
        <f>Table1[[#This Row],[Life expectancy at birth, total (years) '[SP.DYN.LE00.IN']]]/Table1[[#This Row],[Current health expenditure per capita (current US$) '[SH.XPD.CHEX.PC.CD']]]</f>
        <v>0.20387691471763802</v>
      </c>
      <c r="G1732" s="4">
        <f>Table1[[#This Row],[Life expectancy at birth, total (years) '[SP.DYN.LE00.IN']]]/Table1[[#This Row],[Current health expenditure per capita (current US$) '[SH.XPD.CHEX.PC.CD']]]*1000</f>
        <v>203.87691471763802</v>
      </c>
    </row>
    <row r="1733" spans="1:7" hidden="1" x14ac:dyDescent="0.25">
      <c r="B1733" s="1"/>
      <c r="D1733" s="3"/>
      <c r="E1733"/>
      <c r="F1733" t="e">
        <f>Table1[[#This Row],[Life expectancy at birth, total (years) '[SP.DYN.LE00.IN']]]/Table1[[#This Row],[Current health expenditure per capita (current US$) '[SH.XPD.CHEX.PC.CD']]]</f>
        <v>#DIV/0!</v>
      </c>
      <c r="G1733" s="2" t="e">
        <f>Table1[[#This Row],[Life expectancy at birth, total (years) '[SP.DYN.LE00.IN']]]/Table1[[#This Row],[Current health expenditure per capita (current US$) '[SH.XPD.CHEX.PC.CD']]]*1000</f>
        <v>#DIV/0!</v>
      </c>
    </row>
    <row r="1734" spans="1:7" x14ac:dyDescent="0.25">
      <c r="A1734" s="5" t="s">
        <v>371</v>
      </c>
      <c r="B1734" s="6" t="s">
        <v>43</v>
      </c>
      <c r="C1734" s="5">
        <v>2015</v>
      </c>
      <c r="D1734" s="7">
        <v>1061.5866699200001</v>
      </c>
      <c r="E1734" s="11">
        <v>72.882000000000005</v>
      </c>
      <c r="F1734" s="10">
        <f>Table1[[#This Row],[Life expectancy at birth, total (years) '[SP.DYN.LE00.IN']]]/Table1[[#This Row],[Current health expenditure per capita (current US$) '[SH.XPD.CHEX.PC.CD']]]</f>
        <v>6.8653838697402172E-2</v>
      </c>
      <c r="G1734" s="4">
        <f>Table1[[#This Row],[Life expectancy at birth, total (years) '[SP.DYN.LE00.IN']]]/Table1[[#This Row],[Current health expenditure per capita (current US$) '[SH.XPD.CHEX.PC.CD']]]*1000</f>
        <v>68.653838697402179</v>
      </c>
    </row>
    <row r="1735" spans="1:7" x14ac:dyDescent="0.25">
      <c r="A1735" s="5" t="s">
        <v>371</v>
      </c>
      <c r="B1735" s="6" t="s">
        <v>43</v>
      </c>
      <c r="C1735" s="5">
        <v>2016</v>
      </c>
      <c r="D1735" s="7">
        <v>1064.4177246100001</v>
      </c>
      <c r="E1735" s="11">
        <v>72.935000000000002</v>
      </c>
      <c r="F1735" s="10">
        <f>Table1[[#This Row],[Life expectancy at birth, total (years) '[SP.DYN.LE00.IN']]]/Table1[[#This Row],[Current health expenditure per capita (current US$) '[SH.XPD.CHEX.PC.CD']]]</f>
        <v>6.8521031089296455E-2</v>
      </c>
      <c r="G1735" s="4">
        <f>Table1[[#This Row],[Life expectancy at birth, total (years) '[SP.DYN.LE00.IN']]]/Table1[[#This Row],[Current health expenditure per capita (current US$) '[SH.XPD.CHEX.PC.CD']]]*1000</f>
        <v>68.521031089296457</v>
      </c>
    </row>
    <row r="1736" spans="1:7" x14ac:dyDescent="0.25">
      <c r="A1736" s="5" t="s">
        <v>371</v>
      </c>
      <c r="B1736" s="6" t="s">
        <v>43</v>
      </c>
      <c r="C1736" s="5">
        <v>2017</v>
      </c>
      <c r="D1736" s="7">
        <v>1083.3760986299999</v>
      </c>
      <c r="E1736" s="11">
        <v>72.983999999999995</v>
      </c>
      <c r="F1736" s="10">
        <f>Table1[[#This Row],[Life expectancy at birth, total (years) '[SP.DYN.LE00.IN']]]/Table1[[#This Row],[Current health expenditure per capita (current US$) '[SH.XPD.CHEX.PC.CD']]]</f>
        <v>6.7367186789788924E-2</v>
      </c>
      <c r="G1736" s="4">
        <f>Table1[[#This Row],[Life expectancy at birth, total (years) '[SP.DYN.LE00.IN']]]/Table1[[#This Row],[Current health expenditure per capita (current US$) '[SH.XPD.CHEX.PC.CD']]]*1000</f>
        <v>67.367186789788917</v>
      </c>
    </row>
    <row r="1737" spans="1:7" x14ac:dyDescent="0.25">
      <c r="A1737" s="5" t="s">
        <v>371</v>
      </c>
      <c r="B1737" s="6" t="s">
        <v>43</v>
      </c>
      <c r="C1737" s="5">
        <v>2018</v>
      </c>
      <c r="D1737" s="7">
        <v>1080.4539794899999</v>
      </c>
      <c r="E1737" s="11">
        <v>72.658000000000001</v>
      </c>
      <c r="F1737" s="10">
        <f>Table1[[#This Row],[Life expectancy at birth, total (years) '[SP.DYN.LE00.IN']]]/Table1[[#This Row],[Current health expenditure per capita (current US$) '[SH.XPD.CHEX.PC.CD']]]</f>
        <v>6.7247658279991074E-2</v>
      </c>
      <c r="G1737" s="4">
        <f>Table1[[#This Row],[Life expectancy at birth, total (years) '[SP.DYN.LE00.IN']]]/Table1[[#This Row],[Current health expenditure per capita (current US$) '[SH.XPD.CHEX.PC.CD']]]*1000</f>
        <v>67.247658279991072</v>
      </c>
    </row>
    <row r="1738" spans="1:7" x14ac:dyDescent="0.25">
      <c r="A1738" s="5" t="s">
        <v>371</v>
      </c>
      <c r="B1738" s="6" t="s">
        <v>43</v>
      </c>
      <c r="C1738" s="5">
        <v>2019</v>
      </c>
      <c r="D1738" s="7">
        <v>1097.2055664100001</v>
      </c>
      <c r="E1738" s="11">
        <v>72.835999999999999</v>
      </c>
      <c r="F1738" s="10">
        <f>Table1[[#This Row],[Life expectancy at birth, total (years) '[SP.DYN.LE00.IN']]]/Table1[[#This Row],[Current health expenditure per capita (current US$) '[SH.XPD.CHEX.PC.CD']]]</f>
        <v>6.638318491065956E-2</v>
      </c>
      <c r="G1738" s="4">
        <f>Table1[[#This Row],[Life expectancy at birth, total (years) '[SP.DYN.LE00.IN']]]/Table1[[#This Row],[Current health expenditure per capita (current US$) '[SH.XPD.CHEX.PC.CD']]]*1000</f>
        <v>66.383184910659566</v>
      </c>
    </row>
    <row r="1739" spans="1:7" x14ac:dyDescent="0.25">
      <c r="A1739" s="5" t="s">
        <v>371</v>
      </c>
      <c r="B1739" s="6" t="s">
        <v>43</v>
      </c>
      <c r="C1739" s="5">
        <v>2020</v>
      </c>
      <c r="D1739" s="7">
        <v>1059.7258300799999</v>
      </c>
      <c r="E1739" s="11">
        <v>72.644999999999996</v>
      </c>
      <c r="F1739" s="10">
        <f>Table1[[#This Row],[Life expectancy at birth, total (years) '[SP.DYN.LE00.IN']]]/Table1[[#This Row],[Current health expenditure per capita (current US$) '[SH.XPD.CHEX.PC.CD']]]</f>
        <v>6.855074957879996E-2</v>
      </c>
      <c r="G1739" s="4">
        <f>Table1[[#This Row],[Life expectancy at birth, total (years) '[SP.DYN.LE00.IN']]]/Table1[[#This Row],[Current health expenditure per capita (current US$) '[SH.XPD.CHEX.PC.CD']]]*1000</f>
        <v>68.550749578799966</v>
      </c>
    </row>
    <row r="1740" spans="1:7" x14ac:dyDescent="0.25">
      <c r="A1740" s="5" t="s">
        <v>371</v>
      </c>
      <c r="B1740" s="6" t="s">
        <v>43</v>
      </c>
      <c r="C1740" s="5">
        <v>2021</v>
      </c>
      <c r="D1740" s="7">
        <v>1170.9385986299999</v>
      </c>
      <c r="E1740" s="11">
        <v>71.111000000000004</v>
      </c>
      <c r="F1740" s="10">
        <f>Table1[[#This Row],[Life expectancy at birth, total (years) '[SP.DYN.LE00.IN']]]/Table1[[#This Row],[Current health expenditure per capita (current US$) '[SH.XPD.CHEX.PC.CD']]]</f>
        <v>6.0729913663449125E-2</v>
      </c>
      <c r="G1740" s="4">
        <f>Table1[[#This Row],[Life expectancy at birth, total (years) '[SP.DYN.LE00.IN']]]/Table1[[#This Row],[Current health expenditure per capita (current US$) '[SH.XPD.CHEX.PC.CD']]]*1000</f>
        <v>60.729913663449125</v>
      </c>
    </row>
    <row r="1741" spans="1:7" x14ac:dyDescent="0.25">
      <c r="A1741" s="5" t="s">
        <v>371</v>
      </c>
      <c r="B1741" s="6" t="s">
        <v>43</v>
      </c>
      <c r="C1741" s="5">
        <v>2022</v>
      </c>
      <c r="D1741" s="7">
        <v>1266.2882080100001</v>
      </c>
      <c r="E1741" s="11">
        <v>73.331000000000003</v>
      </c>
      <c r="F1741" s="10">
        <f>Table1[[#This Row],[Life expectancy at birth, total (years) '[SP.DYN.LE00.IN']]]/Table1[[#This Row],[Current health expenditure per capita (current US$) '[SH.XPD.CHEX.PC.CD']]]</f>
        <v>5.7910197328016888E-2</v>
      </c>
      <c r="G1741" s="4">
        <f>Table1[[#This Row],[Life expectancy at birth, total (years) '[SP.DYN.LE00.IN']]]/Table1[[#This Row],[Current health expenditure per capita (current US$) '[SH.XPD.CHEX.PC.CD']]]*1000</f>
        <v>57.910197328016885</v>
      </c>
    </row>
    <row r="1742" spans="1:7" x14ac:dyDescent="0.25">
      <c r="A1742" s="5" t="s">
        <v>371</v>
      </c>
      <c r="B1742" s="6" t="s">
        <v>43</v>
      </c>
      <c r="C1742" s="5">
        <v>2023</v>
      </c>
      <c r="D1742" s="7">
        <v>1276.33862305</v>
      </c>
      <c r="E1742" s="11">
        <v>73.489999999999995</v>
      </c>
      <c r="F1742" s="10">
        <f>Table1[[#This Row],[Life expectancy at birth, total (years) '[SP.DYN.LE00.IN']]]/Table1[[#This Row],[Current health expenditure per capita (current US$) '[SH.XPD.CHEX.PC.CD']]]</f>
        <v>5.7578763717409699E-2</v>
      </c>
      <c r="G1742" s="4">
        <f>Table1[[#This Row],[Life expectancy at birth, total (years) '[SP.DYN.LE00.IN']]]/Table1[[#This Row],[Current health expenditure per capita (current US$) '[SH.XPD.CHEX.PC.CD']]]*1000</f>
        <v>57.5787637174097</v>
      </c>
    </row>
    <row r="1743" spans="1:7" hidden="1" x14ac:dyDescent="0.25">
      <c r="B1743" s="1"/>
      <c r="D1743" s="3"/>
      <c r="E1743"/>
      <c r="F1743" t="e">
        <f>Table1[[#This Row],[Life expectancy at birth, total (years) '[SP.DYN.LE00.IN']]]/Table1[[#This Row],[Current health expenditure per capita (current US$) '[SH.XPD.CHEX.PC.CD']]]</f>
        <v>#DIV/0!</v>
      </c>
      <c r="G1743" s="2" t="e">
        <f>Table1[[#This Row],[Life expectancy at birth, total (years) '[SP.DYN.LE00.IN']]]/Table1[[#This Row],[Current health expenditure per capita (current US$) '[SH.XPD.CHEX.PC.CD']]]*1000</f>
        <v>#DIV/0!</v>
      </c>
    </row>
    <row r="1744" spans="1:7" x14ac:dyDescent="0.25">
      <c r="A1744" s="5" t="s">
        <v>417</v>
      </c>
      <c r="B1744" s="6" t="s">
        <v>71</v>
      </c>
      <c r="C1744" s="5">
        <v>2015</v>
      </c>
      <c r="D1744" s="7">
        <v>249.46418761999999</v>
      </c>
      <c r="E1744" s="11">
        <v>74.875</v>
      </c>
      <c r="F1744" s="10">
        <f>Table1[[#This Row],[Life expectancy at birth, total (years) '[SP.DYN.LE00.IN']]]/Table1[[#This Row],[Current health expenditure per capita (current US$) '[SH.XPD.CHEX.PC.CD']]]</f>
        <v>0.30014328194495976</v>
      </c>
      <c r="G1744" s="4">
        <f>Table1[[#This Row],[Life expectancy at birth, total (years) '[SP.DYN.LE00.IN']]]/Table1[[#This Row],[Current health expenditure per capita (current US$) '[SH.XPD.CHEX.PC.CD']]]*1000</f>
        <v>300.14328194495977</v>
      </c>
    </row>
    <row r="1745" spans="1:7" x14ac:dyDescent="0.25">
      <c r="A1745" s="5" t="s">
        <v>417</v>
      </c>
      <c r="B1745" s="6" t="s">
        <v>71</v>
      </c>
      <c r="C1745" s="5">
        <v>2016</v>
      </c>
      <c r="D1745" s="7">
        <v>240.40258789000001</v>
      </c>
      <c r="E1745" s="11">
        <v>75.007000000000005</v>
      </c>
      <c r="F1745" s="10">
        <f>Table1[[#This Row],[Life expectancy at birth, total (years) '[SP.DYN.LE00.IN']]]/Table1[[#This Row],[Current health expenditure per capita (current US$) '[SH.XPD.CHEX.PC.CD']]]</f>
        <v>0.31200579269271694</v>
      </c>
      <c r="G1745" s="4">
        <f>Table1[[#This Row],[Life expectancy at birth, total (years) '[SP.DYN.LE00.IN']]]/Table1[[#This Row],[Current health expenditure per capita (current US$) '[SH.XPD.CHEX.PC.CD']]]*1000</f>
        <v>312.00579269271697</v>
      </c>
    </row>
    <row r="1746" spans="1:7" x14ac:dyDescent="0.25">
      <c r="A1746" s="5" t="s">
        <v>417</v>
      </c>
      <c r="B1746" s="6" t="s">
        <v>71</v>
      </c>
      <c r="C1746" s="5">
        <v>2017</v>
      </c>
      <c r="D1746" s="7">
        <v>223.85903931000001</v>
      </c>
      <c r="E1746" s="11">
        <v>75.177000000000007</v>
      </c>
      <c r="F1746" s="10">
        <f>Table1[[#This Row],[Life expectancy at birth, total (years) '[SP.DYN.LE00.IN']]]/Table1[[#This Row],[Current health expenditure per capita (current US$) '[SH.XPD.CHEX.PC.CD']]]</f>
        <v>0.33582293675394048</v>
      </c>
      <c r="G1746" s="4">
        <f>Table1[[#This Row],[Life expectancy at birth, total (years) '[SP.DYN.LE00.IN']]]/Table1[[#This Row],[Current health expenditure per capita (current US$) '[SH.XPD.CHEX.PC.CD']]]*1000</f>
        <v>335.8229367539405</v>
      </c>
    </row>
    <row r="1747" spans="1:7" x14ac:dyDescent="0.25">
      <c r="A1747" s="5" t="s">
        <v>417</v>
      </c>
      <c r="B1747" s="6" t="s">
        <v>71</v>
      </c>
      <c r="C1747" s="5">
        <v>2018</v>
      </c>
      <c r="D1747" s="7">
        <v>215.418396</v>
      </c>
      <c r="E1747" s="11">
        <v>75.37</v>
      </c>
      <c r="F1747" s="10">
        <f>Table1[[#This Row],[Life expectancy at birth, total (years) '[SP.DYN.LE00.IN']]]/Table1[[#This Row],[Current health expenditure per capita (current US$) '[SH.XPD.CHEX.PC.CD']]]</f>
        <v>0.34987726860615936</v>
      </c>
      <c r="G1747" s="4">
        <f>Table1[[#This Row],[Life expectancy at birth, total (years) '[SP.DYN.LE00.IN']]]/Table1[[#This Row],[Current health expenditure per capita (current US$) '[SH.XPD.CHEX.PC.CD']]]*1000</f>
        <v>349.87726860615936</v>
      </c>
    </row>
    <row r="1748" spans="1:7" x14ac:dyDescent="0.25">
      <c r="A1748" s="5" t="s">
        <v>417</v>
      </c>
      <c r="B1748" s="6" t="s">
        <v>71</v>
      </c>
      <c r="C1748" s="5">
        <v>2019</v>
      </c>
      <c r="D1748" s="7">
        <v>212.60031128</v>
      </c>
      <c r="E1748" s="11">
        <v>75.599000000000004</v>
      </c>
      <c r="F1748" s="10">
        <f>Table1[[#This Row],[Life expectancy at birth, total (years) '[SP.DYN.LE00.IN']]]/Table1[[#This Row],[Current health expenditure per capita (current US$) '[SH.XPD.CHEX.PC.CD']]]</f>
        <v>0.35559214163348146</v>
      </c>
      <c r="G1748" s="4">
        <f>Table1[[#This Row],[Life expectancy at birth, total (years) '[SP.DYN.LE00.IN']]]/Table1[[#This Row],[Current health expenditure per capita (current US$) '[SH.XPD.CHEX.PC.CD']]]*1000</f>
        <v>355.59214163348145</v>
      </c>
    </row>
    <row r="1749" spans="1:7" x14ac:dyDescent="0.25">
      <c r="A1749" s="5" t="s">
        <v>417</v>
      </c>
      <c r="B1749" s="6" t="s">
        <v>71</v>
      </c>
      <c r="C1749" s="5">
        <v>2020</v>
      </c>
      <c r="D1749" s="7">
        <v>250.40145874000001</v>
      </c>
      <c r="E1749" s="11">
        <v>75.004000000000005</v>
      </c>
      <c r="F1749" s="10">
        <f>Table1[[#This Row],[Life expectancy at birth, total (years) '[SP.DYN.LE00.IN']]]/Table1[[#This Row],[Current health expenditure per capita (current US$) '[SH.XPD.CHEX.PC.CD']]]</f>
        <v>0.2995349962313083</v>
      </c>
      <c r="G1749" s="4">
        <f>Table1[[#This Row],[Life expectancy at birth, total (years) '[SP.DYN.LE00.IN']]]/Table1[[#This Row],[Current health expenditure per capita (current US$) '[SH.XPD.CHEX.PC.CD']]]*1000</f>
        <v>299.5349962313083</v>
      </c>
    </row>
    <row r="1750" spans="1:7" x14ac:dyDescent="0.25">
      <c r="A1750" s="5" t="s">
        <v>417</v>
      </c>
      <c r="B1750" s="6" t="s">
        <v>71</v>
      </c>
      <c r="C1750" s="5">
        <v>2021</v>
      </c>
      <c r="D1750" s="7">
        <v>285.25247192</v>
      </c>
      <c r="E1750" s="11">
        <v>72.893000000000001</v>
      </c>
      <c r="F1750" s="10">
        <f>Table1[[#This Row],[Life expectancy at birth, total (years) '[SP.DYN.LE00.IN']]]/Table1[[#This Row],[Current health expenditure per capita (current US$) '[SH.XPD.CHEX.PC.CD']]]</f>
        <v>0.25553853927843639</v>
      </c>
      <c r="G1750" s="4">
        <f>Table1[[#This Row],[Life expectancy at birth, total (years) '[SP.DYN.LE00.IN']]]/Table1[[#This Row],[Current health expenditure per capita (current US$) '[SH.XPD.CHEX.PC.CD']]]*1000</f>
        <v>255.53853927843639</v>
      </c>
    </row>
    <row r="1751" spans="1:7" x14ac:dyDescent="0.25">
      <c r="A1751" s="5" t="s">
        <v>417</v>
      </c>
      <c r="B1751" s="6" t="s">
        <v>71</v>
      </c>
      <c r="C1751" s="5">
        <v>2022</v>
      </c>
      <c r="D1751" s="7">
        <v>276.46380614999998</v>
      </c>
      <c r="E1751" s="11">
        <v>76.05</v>
      </c>
      <c r="F1751" s="10">
        <f>Table1[[#This Row],[Life expectancy at birth, total (years) '[SP.DYN.LE00.IN']]]/Table1[[#This Row],[Current health expenditure per capita (current US$) '[SH.XPD.CHEX.PC.CD']]]</f>
        <v>0.27508121608778624</v>
      </c>
      <c r="G1751" s="4">
        <f>Table1[[#This Row],[Life expectancy at birth, total (years) '[SP.DYN.LE00.IN']]]/Table1[[#This Row],[Current health expenditure per capita (current US$) '[SH.XPD.CHEX.PC.CD']]]*1000</f>
        <v>275.08121608778623</v>
      </c>
    </row>
    <row r="1752" spans="1:7" x14ac:dyDescent="0.25">
      <c r="A1752" s="5" t="s">
        <v>417</v>
      </c>
      <c r="B1752" s="6" t="s">
        <v>71</v>
      </c>
      <c r="C1752" s="5">
        <v>2023</v>
      </c>
      <c r="D1752" s="7">
        <v>317.70983887</v>
      </c>
      <c r="E1752" s="11">
        <v>76.507999999999996</v>
      </c>
      <c r="F1752" s="10">
        <f>Table1[[#This Row],[Life expectancy at birth, total (years) '[SP.DYN.LE00.IN']]]/Table1[[#This Row],[Current health expenditure per capita (current US$) '[SH.XPD.CHEX.PC.CD']]]</f>
        <v>0.2408109244338052</v>
      </c>
      <c r="G1752" s="4">
        <f>Table1[[#This Row],[Life expectancy at birth, total (years) '[SP.DYN.LE00.IN']]]/Table1[[#This Row],[Current health expenditure per capita (current US$) '[SH.XPD.CHEX.PC.CD']]]*1000</f>
        <v>240.81092443380518</v>
      </c>
    </row>
    <row r="1753" spans="1:7" hidden="1" x14ac:dyDescent="0.25">
      <c r="B1753" s="1"/>
      <c r="D1753" s="3"/>
      <c r="E1753"/>
      <c r="F1753" t="e">
        <f>Table1[[#This Row],[Life expectancy at birth, total (years) '[SP.DYN.LE00.IN']]]/Table1[[#This Row],[Current health expenditure per capita (current US$) '[SH.XPD.CHEX.PC.CD']]]</f>
        <v>#DIV/0!</v>
      </c>
      <c r="G1753" s="2" t="e">
        <f>Table1[[#This Row],[Life expectancy at birth, total (years) '[SP.DYN.LE00.IN']]]/Table1[[#This Row],[Current health expenditure per capita (current US$) '[SH.XPD.CHEX.PC.CD']]]*1000</f>
        <v>#DIV/0!</v>
      </c>
    </row>
    <row r="1754" spans="1:7" x14ac:dyDescent="0.25">
      <c r="A1754" s="5" t="s">
        <v>50</v>
      </c>
      <c r="B1754" s="6" t="s">
        <v>258</v>
      </c>
      <c r="C1754" s="5">
        <v>2015</v>
      </c>
      <c r="D1754" s="7">
        <v>444.70803833000002</v>
      </c>
      <c r="E1754" s="11">
        <v>76.539000000000001</v>
      </c>
      <c r="F1754" s="10">
        <f>Table1[[#This Row],[Life expectancy at birth, total (years) '[SP.DYN.LE00.IN']]]/Table1[[#This Row],[Current health expenditure per capita (current US$) '[SH.XPD.CHEX.PC.CD']]]</f>
        <v>0.17211067352734352</v>
      </c>
      <c r="G1754" s="4">
        <f>Table1[[#This Row],[Life expectancy at birth, total (years) '[SP.DYN.LE00.IN']]]/Table1[[#This Row],[Current health expenditure per capita (current US$) '[SH.XPD.CHEX.PC.CD']]]*1000</f>
        <v>172.11067352734352</v>
      </c>
    </row>
    <row r="1755" spans="1:7" x14ac:dyDescent="0.25">
      <c r="A1755" s="5" t="s">
        <v>50</v>
      </c>
      <c r="B1755" s="6" t="s">
        <v>258</v>
      </c>
      <c r="C1755" s="5">
        <v>2016</v>
      </c>
      <c r="D1755" s="7">
        <v>456.36596680000002</v>
      </c>
      <c r="E1755" s="11">
        <v>76.594999999999999</v>
      </c>
      <c r="F1755" s="10">
        <f>Table1[[#This Row],[Life expectancy at birth, total (years) '[SP.DYN.LE00.IN']]]/Table1[[#This Row],[Current health expenditure per capita (current US$) '[SH.XPD.CHEX.PC.CD']]]</f>
        <v>0.16783679233812662</v>
      </c>
      <c r="G1755" s="4">
        <f>Table1[[#This Row],[Life expectancy at birth, total (years) '[SP.DYN.LE00.IN']]]/Table1[[#This Row],[Current health expenditure per capita (current US$) '[SH.XPD.CHEX.PC.CD']]]*1000</f>
        <v>167.83679233812663</v>
      </c>
    </row>
    <row r="1756" spans="1:7" x14ac:dyDescent="0.25">
      <c r="A1756" s="5" t="s">
        <v>50</v>
      </c>
      <c r="B1756" s="6" t="s">
        <v>258</v>
      </c>
      <c r="C1756" s="5">
        <v>2017</v>
      </c>
      <c r="D1756" s="7">
        <v>432.13754272</v>
      </c>
      <c r="E1756" s="11">
        <v>77.037000000000006</v>
      </c>
      <c r="F1756" s="10">
        <f>Table1[[#This Row],[Life expectancy at birth, total (years) '[SP.DYN.LE00.IN']]]/Table1[[#This Row],[Current health expenditure per capita (current US$) '[SH.XPD.CHEX.PC.CD']]]</f>
        <v>0.17826963034756621</v>
      </c>
      <c r="G1756" s="4">
        <f>Table1[[#This Row],[Life expectancy at birth, total (years) '[SP.DYN.LE00.IN']]]/Table1[[#This Row],[Current health expenditure per capita (current US$) '[SH.XPD.CHEX.PC.CD']]]*1000</f>
        <v>178.26963034756622</v>
      </c>
    </row>
    <row r="1757" spans="1:7" x14ac:dyDescent="0.25">
      <c r="A1757" s="5" t="s">
        <v>50</v>
      </c>
      <c r="B1757" s="6" t="s">
        <v>258</v>
      </c>
      <c r="C1757" s="5">
        <v>2018</v>
      </c>
      <c r="D1757" s="7">
        <v>380.27835083000002</v>
      </c>
      <c r="E1757" s="11">
        <v>77.453999999999994</v>
      </c>
      <c r="F1757" s="10">
        <f>Table1[[#This Row],[Life expectancy at birth, total (years) '[SP.DYN.LE00.IN']]]/Table1[[#This Row],[Current health expenditure per capita (current US$) '[SH.XPD.CHEX.PC.CD']]]</f>
        <v>0.20367712185284273</v>
      </c>
      <c r="G1757" s="4">
        <f>Table1[[#This Row],[Life expectancy at birth, total (years) '[SP.DYN.LE00.IN']]]/Table1[[#This Row],[Current health expenditure per capita (current US$) '[SH.XPD.CHEX.PC.CD']]]*1000</f>
        <v>203.67712185284273</v>
      </c>
    </row>
    <row r="1758" spans="1:7" x14ac:dyDescent="0.25">
      <c r="A1758" s="5" t="s">
        <v>50</v>
      </c>
      <c r="B1758" s="6" t="s">
        <v>258</v>
      </c>
      <c r="C1758" s="5">
        <v>2019</v>
      </c>
      <c r="D1758" s="7">
        <v>388.67486572000001</v>
      </c>
      <c r="E1758" s="11">
        <v>77.736999999999995</v>
      </c>
      <c r="F1758" s="10">
        <f>Table1[[#This Row],[Life expectancy at birth, total (years) '[SP.DYN.LE00.IN']]]/Table1[[#This Row],[Current health expenditure per capita (current US$) '[SH.XPD.CHEX.PC.CD']]]</f>
        <v>0.20000521478536112</v>
      </c>
      <c r="G1758" s="4">
        <f>Table1[[#This Row],[Life expectancy at birth, total (years) '[SP.DYN.LE00.IN']]]/Table1[[#This Row],[Current health expenditure per capita (current US$) '[SH.XPD.CHEX.PC.CD']]]*1000</f>
        <v>200.00521478536112</v>
      </c>
    </row>
    <row r="1759" spans="1:7" x14ac:dyDescent="0.25">
      <c r="A1759" s="5" t="s">
        <v>50</v>
      </c>
      <c r="B1759" s="6" t="s">
        <v>258</v>
      </c>
      <c r="C1759" s="5">
        <v>2020</v>
      </c>
      <c r="D1759" s="7">
        <v>386.25936890000003</v>
      </c>
      <c r="E1759" s="11">
        <v>76.525000000000006</v>
      </c>
      <c r="F1759" s="10">
        <f>Table1[[#This Row],[Life expectancy at birth, total (years) '[SP.DYN.LE00.IN']]]/Table1[[#This Row],[Current health expenditure per capita (current US$) '[SH.XPD.CHEX.PC.CD']]]</f>
        <v>0.19811817178164504</v>
      </c>
      <c r="G1759" s="4">
        <f>Table1[[#This Row],[Life expectancy at birth, total (years) '[SP.DYN.LE00.IN']]]/Table1[[#This Row],[Current health expenditure per capita (current US$) '[SH.XPD.CHEX.PC.CD']]]*1000</f>
        <v>198.11817178164503</v>
      </c>
    </row>
    <row r="1760" spans="1:7" x14ac:dyDescent="0.25">
      <c r="A1760" s="5" t="s">
        <v>50</v>
      </c>
      <c r="B1760" s="6" t="s">
        <v>258</v>
      </c>
      <c r="C1760" s="5">
        <v>2021</v>
      </c>
      <c r="D1760" s="7">
        <v>431.33978271000001</v>
      </c>
      <c r="E1760" s="11">
        <v>75.721999999999994</v>
      </c>
      <c r="F1760" s="10">
        <f>Table1[[#This Row],[Life expectancy at birth, total (years) '[SP.DYN.LE00.IN']]]/Table1[[#This Row],[Current health expenditure per capita (current US$) '[SH.XPD.CHEX.PC.CD']]]</f>
        <v>0.17555069816249641</v>
      </c>
      <c r="G1760" s="4">
        <f>Table1[[#This Row],[Life expectancy at birth, total (years) '[SP.DYN.LE00.IN']]]/Table1[[#This Row],[Current health expenditure per capita (current US$) '[SH.XPD.CHEX.PC.CD']]]*1000</f>
        <v>175.55069816249642</v>
      </c>
    </row>
    <row r="1761" spans="1:7" x14ac:dyDescent="0.25">
      <c r="A1761" s="5" t="s">
        <v>50</v>
      </c>
      <c r="B1761" s="6" t="s">
        <v>258</v>
      </c>
      <c r="C1761" s="5">
        <v>2022</v>
      </c>
      <c r="D1761" s="7">
        <v>385.87997437000001</v>
      </c>
      <c r="E1761" s="11">
        <v>77.590999999999994</v>
      </c>
      <c r="F1761" s="10">
        <f>Table1[[#This Row],[Life expectancy at birth, total (years) '[SP.DYN.LE00.IN']]]/Table1[[#This Row],[Current health expenditure per capita (current US$) '[SH.XPD.CHEX.PC.CD']]]</f>
        <v>0.20107547723013494</v>
      </c>
      <c r="G1761" s="4">
        <f>Table1[[#This Row],[Life expectancy at birth, total (years) '[SP.DYN.LE00.IN']]]/Table1[[#This Row],[Current health expenditure per capita (current US$) '[SH.XPD.CHEX.PC.CD']]]*1000</f>
        <v>201.07547723013494</v>
      </c>
    </row>
    <row r="1762" spans="1:7" x14ac:dyDescent="0.25">
      <c r="A1762" s="5" t="s">
        <v>50</v>
      </c>
      <c r="B1762" s="6" t="s">
        <v>258</v>
      </c>
      <c r="C1762" s="5">
        <v>2023</v>
      </c>
      <c r="D1762" s="7">
        <v>547.81457520000004</v>
      </c>
      <c r="E1762" s="11">
        <v>77.156000000000006</v>
      </c>
      <c r="F1762" s="10">
        <f>Table1[[#This Row],[Life expectancy at birth, total (years) '[SP.DYN.LE00.IN']]]/Table1[[#This Row],[Current health expenditure per capita (current US$) '[SH.XPD.CHEX.PC.CD']]]</f>
        <v>0.14084327707387367</v>
      </c>
      <c r="G1762" s="4">
        <f>Table1[[#This Row],[Life expectancy at birth, total (years) '[SP.DYN.LE00.IN']]]/Table1[[#This Row],[Current health expenditure per capita (current US$) '[SH.XPD.CHEX.PC.CD']]]*1000</f>
        <v>140.84327707387368</v>
      </c>
    </row>
    <row r="1763" spans="1:7" hidden="1" x14ac:dyDescent="0.25">
      <c r="B1763" s="1"/>
      <c r="D1763" s="3"/>
      <c r="E1763"/>
      <c r="F1763" t="e">
        <f>Table1[[#This Row],[Life expectancy at birth, total (years) '[SP.DYN.LE00.IN']]]/Table1[[#This Row],[Current health expenditure per capita (current US$) '[SH.XPD.CHEX.PC.CD']]]</f>
        <v>#DIV/0!</v>
      </c>
      <c r="G1763" s="2" t="e">
        <f>Table1[[#This Row],[Life expectancy at birth, total (years) '[SP.DYN.LE00.IN']]]/Table1[[#This Row],[Current health expenditure per capita (current US$) '[SH.XPD.CHEX.PC.CD']]]*1000</f>
        <v>#DIV/0!</v>
      </c>
    </row>
    <row r="1764" spans="1:7" x14ac:dyDescent="0.25">
      <c r="A1764" s="5" t="s">
        <v>321</v>
      </c>
      <c r="B1764" s="6" t="s">
        <v>32</v>
      </c>
      <c r="C1764" s="5">
        <v>2015</v>
      </c>
      <c r="D1764" s="7">
        <v>362.72949218999997</v>
      </c>
      <c r="E1764" s="11">
        <v>69.061000000000007</v>
      </c>
      <c r="F1764" s="10">
        <f>Table1[[#This Row],[Life expectancy at birth, total (years) '[SP.DYN.LE00.IN']]]/Table1[[#This Row],[Current health expenditure per capita (current US$) '[SH.XPD.CHEX.PC.CD']]]</f>
        <v>0.19039256935806428</v>
      </c>
      <c r="G1764" s="4">
        <f>Table1[[#This Row],[Life expectancy at birth, total (years) '[SP.DYN.LE00.IN']]]/Table1[[#This Row],[Current health expenditure per capita (current US$) '[SH.XPD.CHEX.PC.CD']]]*1000</f>
        <v>190.39256935806429</v>
      </c>
    </row>
    <row r="1765" spans="1:7" x14ac:dyDescent="0.25">
      <c r="A1765" s="5" t="s">
        <v>321</v>
      </c>
      <c r="B1765" s="6" t="s">
        <v>32</v>
      </c>
      <c r="C1765" s="5">
        <v>2016</v>
      </c>
      <c r="D1765" s="7">
        <v>376.65567017000001</v>
      </c>
      <c r="E1765" s="11">
        <v>69.141999999999996</v>
      </c>
      <c r="F1765" s="10">
        <f>Table1[[#This Row],[Life expectancy at birth, total (years) '[SP.DYN.LE00.IN']]]/Table1[[#This Row],[Current health expenditure per capita (current US$) '[SH.XPD.CHEX.PC.CD']]]</f>
        <v>0.18356819099203631</v>
      </c>
      <c r="G1765" s="4">
        <f>Table1[[#This Row],[Life expectancy at birth, total (years) '[SP.DYN.LE00.IN']]]/Table1[[#This Row],[Current health expenditure per capita (current US$) '[SH.XPD.CHEX.PC.CD']]]*1000</f>
        <v>183.56819099203631</v>
      </c>
    </row>
    <row r="1766" spans="1:7" x14ac:dyDescent="0.25">
      <c r="A1766" s="5" t="s">
        <v>321</v>
      </c>
      <c r="B1766" s="6" t="s">
        <v>32</v>
      </c>
      <c r="C1766" s="5">
        <v>2017</v>
      </c>
      <c r="D1766" s="7">
        <v>410.81082153</v>
      </c>
      <c r="E1766" s="11">
        <v>69.19</v>
      </c>
      <c r="F1766" s="10">
        <f>Table1[[#This Row],[Life expectancy at birth, total (years) '[SP.DYN.LE00.IN']]]/Table1[[#This Row],[Current health expenditure per capita (current US$) '[SH.XPD.CHEX.PC.CD']]]</f>
        <v>0.16842302192116745</v>
      </c>
      <c r="G1766" s="4">
        <f>Table1[[#This Row],[Life expectancy at birth, total (years) '[SP.DYN.LE00.IN']]]/Table1[[#This Row],[Current health expenditure per capita (current US$) '[SH.XPD.CHEX.PC.CD']]]*1000</f>
        <v>168.42302192116745</v>
      </c>
    </row>
    <row r="1767" spans="1:7" x14ac:dyDescent="0.25">
      <c r="A1767" s="5" t="s">
        <v>321</v>
      </c>
      <c r="B1767" s="6" t="s">
        <v>32</v>
      </c>
      <c r="C1767" s="5">
        <v>2018</v>
      </c>
      <c r="D1767" s="7">
        <v>411.32562256</v>
      </c>
      <c r="E1767" s="11">
        <v>69.272000000000006</v>
      </c>
      <c r="F1767" s="10">
        <f>Table1[[#This Row],[Life expectancy at birth, total (years) '[SP.DYN.LE00.IN']]]/Table1[[#This Row],[Current health expenditure per capita (current US$) '[SH.XPD.CHEX.PC.CD']]]</f>
        <v>0.16841158488709346</v>
      </c>
      <c r="G1767" s="4">
        <f>Table1[[#This Row],[Life expectancy at birth, total (years) '[SP.DYN.LE00.IN']]]/Table1[[#This Row],[Current health expenditure per capita (current US$) '[SH.XPD.CHEX.PC.CD']]]*1000</f>
        <v>168.41158488709345</v>
      </c>
    </row>
    <row r="1768" spans="1:7" x14ac:dyDescent="0.25">
      <c r="A1768" s="5" t="s">
        <v>321</v>
      </c>
      <c r="B1768" s="6" t="s">
        <v>32</v>
      </c>
      <c r="C1768" s="5">
        <v>2019</v>
      </c>
      <c r="D1768" s="7">
        <v>432.78118896000001</v>
      </c>
      <c r="E1768" s="11">
        <v>69.405000000000001</v>
      </c>
      <c r="F1768" s="10">
        <f>Table1[[#This Row],[Life expectancy at birth, total (years) '[SP.DYN.LE00.IN']]]/Table1[[#This Row],[Current health expenditure per capita (current US$) '[SH.XPD.CHEX.PC.CD']]]</f>
        <v>0.16036972440226552</v>
      </c>
      <c r="G1768" s="4">
        <f>Table1[[#This Row],[Life expectancy at birth, total (years) '[SP.DYN.LE00.IN']]]/Table1[[#This Row],[Current health expenditure per capita (current US$) '[SH.XPD.CHEX.PC.CD']]]*1000</f>
        <v>160.36972440226552</v>
      </c>
    </row>
    <row r="1769" spans="1:7" x14ac:dyDescent="0.25">
      <c r="A1769" s="5" t="s">
        <v>321</v>
      </c>
      <c r="B1769" s="6" t="s">
        <v>32</v>
      </c>
      <c r="C1769" s="5">
        <v>2020</v>
      </c>
      <c r="D1769" s="7">
        <v>420.00833130000001</v>
      </c>
      <c r="E1769" s="11">
        <v>68.846000000000004</v>
      </c>
      <c r="F1769" s="10">
        <f>Table1[[#This Row],[Life expectancy at birth, total (years) '[SP.DYN.LE00.IN']]]/Table1[[#This Row],[Current health expenditure per capita (current US$) '[SH.XPD.CHEX.PC.CD']]]</f>
        <v>0.16391579611506626</v>
      </c>
      <c r="G1769" s="4">
        <f>Table1[[#This Row],[Life expectancy at birth, total (years) '[SP.DYN.LE00.IN']]]/Table1[[#This Row],[Current health expenditure per capita (current US$) '[SH.XPD.CHEX.PC.CD']]]*1000</f>
        <v>163.91579611506626</v>
      </c>
    </row>
    <row r="1770" spans="1:7" x14ac:dyDescent="0.25">
      <c r="A1770" s="5" t="s">
        <v>321</v>
      </c>
      <c r="B1770" s="6" t="s">
        <v>32</v>
      </c>
      <c r="C1770" s="5">
        <v>2021</v>
      </c>
      <c r="D1770" s="7">
        <v>471.86325073</v>
      </c>
      <c r="E1770" s="11">
        <v>69.352999999999994</v>
      </c>
      <c r="F1770" s="10">
        <f>Table1[[#This Row],[Life expectancy at birth, total (years) '[SP.DYN.LE00.IN']]]/Table1[[#This Row],[Current health expenditure per capita (current US$) '[SH.XPD.CHEX.PC.CD']]]</f>
        <v>0.14697690462799731</v>
      </c>
      <c r="G1770" s="4">
        <f>Table1[[#This Row],[Life expectancy at birth, total (years) '[SP.DYN.LE00.IN']]]/Table1[[#This Row],[Current health expenditure per capita (current US$) '[SH.XPD.CHEX.PC.CD']]]*1000</f>
        <v>146.9769046279973</v>
      </c>
    </row>
    <row r="1771" spans="1:7" x14ac:dyDescent="0.25">
      <c r="A1771" s="5" t="s">
        <v>321</v>
      </c>
      <c r="B1771" s="6" t="s">
        <v>32</v>
      </c>
      <c r="C1771" s="5">
        <v>2022</v>
      </c>
      <c r="D1771" s="7">
        <v>579.15454102000001</v>
      </c>
      <c r="E1771" s="11">
        <v>69.912999999999997</v>
      </c>
      <c r="F1771" s="10">
        <f>Table1[[#This Row],[Life expectancy at birth, total (years) '[SP.DYN.LE00.IN']]]/Table1[[#This Row],[Current health expenditure per capita (current US$) '[SH.XPD.CHEX.PC.CD']]]</f>
        <v>0.12071562087188345</v>
      </c>
      <c r="G1771" s="4">
        <f>Table1[[#This Row],[Life expectancy at birth, total (years) '[SP.DYN.LE00.IN']]]/Table1[[#This Row],[Current health expenditure per capita (current US$) '[SH.XPD.CHEX.PC.CD']]]*1000</f>
        <v>120.71562087188344</v>
      </c>
    </row>
    <row r="1772" spans="1:7" x14ac:dyDescent="0.25">
      <c r="A1772" s="5" t="s">
        <v>321</v>
      </c>
      <c r="B1772" s="6" t="s">
        <v>32</v>
      </c>
      <c r="C1772" s="5">
        <v>2023</v>
      </c>
      <c r="D1772" s="7">
        <v>581.38220215000001</v>
      </c>
      <c r="E1772" s="11">
        <v>70.072999999999993</v>
      </c>
      <c r="F1772" s="10">
        <f>Table1[[#This Row],[Life expectancy at birth, total (years) '[SP.DYN.LE00.IN']]]/Table1[[#This Row],[Current health expenditure per capita (current US$) '[SH.XPD.CHEX.PC.CD']]]</f>
        <v>0.12052828542198948</v>
      </c>
      <c r="G1772" s="4">
        <f>Table1[[#This Row],[Life expectancy at birth, total (years) '[SP.DYN.LE00.IN']]]/Table1[[#This Row],[Current health expenditure per capita (current US$) '[SH.XPD.CHEX.PC.CD']]]*1000</f>
        <v>120.52828542198948</v>
      </c>
    </row>
    <row r="1773" spans="1:7" hidden="1" x14ac:dyDescent="0.25">
      <c r="B1773" s="1"/>
      <c r="D1773" s="3"/>
      <c r="E1773"/>
      <c r="F1773" t="e">
        <f>Table1[[#This Row],[Life expectancy at birth, total (years) '[SP.DYN.LE00.IN']]]/Table1[[#This Row],[Current health expenditure per capita (current US$) '[SH.XPD.CHEX.PC.CD']]]</f>
        <v>#DIV/0!</v>
      </c>
      <c r="G1773" s="2" t="e">
        <f>Table1[[#This Row],[Life expectancy at birth, total (years) '[SP.DYN.LE00.IN']]]/Table1[[#This Row],[Current health expenditure per capita (current US$) '[SH.XPD.CHEX.PC.CD']]]*1000</f>
        <v>#DIV/0!</v>
      </c>
    </row>
    <row r="1774" spans="1:7" x14ac:dyDescent="0.25">
      <c r="A1774" s="5" t="s">
        <v>85</v>
      </c>
      <c r="B1774" s="6" t="s">
        <v>415</v>
      </c>
      <c r="C1774" s="5">
        <v>2015</v>
      </c>
      <c r="D1774" s="7">
        <v>451.35287476000002</v>
      </c>
      <c r="E1774" s="11">
        <v>65.364999999999995</v>
      </c>
      <c r="F1774" s="10">
        <f>Table1[[#This Row],[Life expectancy at birth, total (years) '[SP.DYN.LE00.IN']]]/Table1[[#This Row],[Current health expenditure per capita (current US$) '[SH.XPD.CHEX.PC.CD']]]</f>
        <v>0.1448201698831692</v>
      </c>
      <c r="G1774" s="4">
        <f>Table1[[#This Row],[Life expectancy at birth, total (years) '[SP.DYN.LE00.IN']]]/Table1[[#This Row],[Current health expenditure per capita (current US$) '[SH.XPD.CHEX.PC.CD']]]*1000</f>
        <v>144.8201698831692</v>
      </c>
    </row>
    <row r="1775" spans="1:7" x14ac:dyDescent="0.25">
      <c r="A1775" s="5" t="s">
        <v>85</v>
      </c>
      <c r="B1775" s="6" t="s">
        <v>415</v>
      </c>
      <c r="C1775" s="5">
        <v>2016</v>
      </c>
      <c r="D1775" s="7">
        <v>697.99798583999996</v>
      </c>
      <c r="E1775" s="11">
        <v>65.510000000000005</v>
      </c>
      <c r="F1775" s="10">
        <f>Table1[[#This Row],[Life expectancy at birth, total (years) '[SP.DYN.LE00.IN']]]/Table1[[#This Row],[Current health expenditure per capita (current US$) '[SH.XPD.CHEX.PC.CD']]]</f>
        <v>9.3854139021851954E-2</v>
      </c>
      <c r="G1775" s="4">
        <f>Table1[[#This Row],[Life expectancy at birth, total (years) '[SP.DYN.LE00.IN']]]/Table1[[#This Row],[Current health expenditure per capita (current US$) '[SH.XPD.CHEX.PC.CD']]]*1000</f>
        <v>93.85413902185195</v>
      </c>
    </row>
    <row r="1776" spans="1:7" x14ac:dyDescent="0.25">
      <c r="A1776" s="5" t="s">
        <v>85</v>
      </c>
      <c r="B1776" s="6" t="s">
        <v>415</v>
      </c>
      <c r="C1776" s="5">
        <v>2017</v>
      </c>
      <c r="D1776" s="7">
        <v>1017.4963378899999</v>
      </c>
      <c r="E1776" s="11">
        <v>65.683000000000007</v>
      </c>
      <c r="F1776" s="10">
        <f>Table1[[#This Row],[Life expectancy at birth, total (years) '[SP.DYN.LE00.IN']]]/Table1[[#This Row],[Current health expenditure per capita (current US$) '[SH.XPD.CHEX.PC.CD']]]</f>
        <v>6.4553549289629877E-2</v>
      </c>
      <c r="G1776" s="4">
        <f>Table1[[#This Row],[Life expectancy at birth, total (years) '[SP.DYN.LE00.IN']]]/Table1[[#This Row],[Current health expenditure per capita (current US$) '[SH.XPD.CHEX.PC.CD']]]*1000</f>
        <v>64.553549289629871</v>
      </c>
    </row>
    <row r="1777" spans="1:7" x14ac:dyDescent="0.25">
      <c r="A1777" s="5" t="s">
        <v>85</v>
      </c>
      <c r="B1777" s="6" t="s">
        <v>415</v>
      </c>
      <c r="C1777" s="5">
        <v>2018</v>
      </c>
      <c r="D1777" s="7">
        <v>819.41162109000004</v>
      </c>
      <c r="E1777" s="11">
        <v>65.870999999999995</v>
      </c>
      <c r="F1777" s="10">
        <f>Table1[[#This Row],[Life expectancy at birth, total (years) '[SP.DYN.LE00.IN']]]/Table1[[#This Row],[Current health expenditure per capita (current US$) '[SH.XPD.CHEX.PC.CD']]]</f>
        <v>8.0388169150416591E-2</v>
      </c>
      <c r="G1777" s="4">
        <f>Table1[[#This Row],[Life expectancy at birth, total (years) '[SP.DYN.LE00.IN']]]/Table1[[#This Row],[Current health expenditure per capita (current US$) '[SH.XPD.CHEX.PC.CD']]]*1000</f>
        <v>80.388169150416587</v>
      </c>
    </row>
    <row r="1778" spans="1:7" x14ac:dyDescent="0.25">
      <c r="A1778" s="5" t="s">
        <v>85</v>
      </c>
      <c r="B1778" s="6" t="s">
        <v>415</v>
      </c>
      <c r="C1778" s="5">
        <v>2019</v>
      </c>
      <c r="D1778" s="7">
        <v>1138.8261718799999</v>
      </c>
      <c r="E1778" s="11">
        <v>66.108999999999995</v>
      </c>
      <c r="F1778" s="10">
        <f>Table1[[#This Row],[Life expectancy at birth, total (years) '[SP.DYN.LE00.IN']]]/Table1[[#This Row],[Current health expenditure per capita (current US$) '[SH.XPD.CHEX.PC.CD']]]</f>
        <v>5.8050123567906564E-2</v>
      </c>
      <c r="G1778" s="4">
        <f>Table1[[#This Row],[Life expectancy at birth, total (years) '[SP.DYN.LE00.IN']]]/Table1[[#This Row],[Current health expenditure per capita (current US$) '[SH.XPD.CHEX.PC.CD']]]*1000</f>
        <v>58.050123567906567</v>
      </c>
    </row>
    <row r="1779" spans="1:7" x14ac:dyDescent="0.25">
      <c r="A1779" s="5" t="s">
        <v>85</v>
      </c>
      <c r="B1779" s="6" t="s">
        <v>415</v>
      </c>
      <c r="C1779" s="5">
        <v>2020</v>
      </c>
      <c r="D1779" s="7">
        <v>899.59460449000005</v>
      </c>
      <c r="E1779" s="11">
        <v>66.356999999999999</v>
      </c>
      <c r="F1779" s="10">
        <f>Table1[[#This Row],[Life expectancy at birth, total (years) '[SP.DYN.LE00.IN']]]/Table1[[#This Row],[Current health expenditure per capita (current US$) '[SH.XPD.CHEX.PC.CD']]]</f>
        <v>7.3763225867299678E-2</v>
      </c>
      <c r="G1779" s="4">
        <f>Table1[[#This Row],[Life expectancy at birth, total (years) '[SP.DYN.LE00.IN']]]/Table1[[#This Row],[Current health expenditure per capita (current US$) '[SH.XPD.CHEX.PC.CD']]]*1000</f>
        <v>73.763225867299681</v>
      </c>
    </row>
    <row r="1780" spans="1:7" x14ac:dyDescent="0.25">
      <c r="A1780" s="5" t="s">
        <v>85</v>
      </c>
      <c r="B1780" s="6" t="s">
        <v>415</v>
      </c>
      <c r="C1780" s="5">
        <v>2021</v>
      </c>
      <c r="D1780" s="7">
        <v>1122.3992919899999</v>
      </c>
      <c r="E1780" s="11">
        <v>65.823999999999998</v>
      </c>
      <c r="F1780" s="10">
        <f>Table1[[#This Row],[Life expectancy at birth, total (years) '[SP.DYN.LE00.IN']]]/Table1[[#This Row],[Current health expenditure per capita (current US$) '[SH.XPD.CHEX.PC.CD']]]</f>
        <v>5.8645796081441631E-2</v>
      </c>
      <c r="G1780" s="4">
        <f>Table1[[#This Row],[Life expectancy at birth, total (years) '[SP.DYN.LE00.IN']]]/Table1[[#This Row],[Current health expenditure per capita (current US$) '[SH.XPD.CHEX.PC.CD']]]*1000</f>
        <v>58.645796081441631</v>
      </c>
    </row>
    <row r="1781" spans="1:7" x14ac:dyDescent="0.25">
      <c r="A1781" s="5" t="s">
        <v>85</v>
      </c>
      <c r="B1781" s="6" t="s">
        <v>415</v>
      </c>
      <c r="C1781" s="5">
        <v>2022</v>
      </c>
      <c r="D1781" s="7">
        <v>1300.4667968799999</v>
      </c>
      <c r="E1781" s="11">
        <v>66.852000000000004</v>
      </c>
      <c r="F1781" s="10">
        <f>Table1[[#This Row],[Life expectancy at birth, total (years) '[SP.DYN.LE00.IN']]]/Table1[[#This Row],[Current health expenditure per capita (current US$) '[SH.XPD.CHEX.PC.CD']]]</f>
        <v>5.1406156743399538E-2</v>
      </c>
      <c r="G1781" s="4">
        <f>Table1[[#This Row],[Life expectancy at birth, total (years) '[SP.DYN.LE00.IN']]]/Table1[[#This Row],[Current health expenditure per capita (current US$) '[SH.XPD.CHEX.PC.CD']]]*1000</f>
        <v>51.406156743399535</v>
      </c>
    </row>
    <row r="1782" spans="1:7" x14ac:dyDescent="0.25">
      <c r="A1782" s="5" t="s">
        <v>85</v>
      </c>
      <c r="B1782" s="6" t="s">
        <v>415</v>
      </c>
      <c r="C1782" s="5">
        <v>2023</v>
      </c>
      <c r="D1782" s="7">
        <v>1723.56542969</v>
      </c>
      <c r="E1782" s="11">
        <v>67.105000000000004</v>
      </c>
      <c r="F1782" s="10">
        <f>Table1[[#This Row],[Life expectancy at birth, total (years) '[SP.DYN.LE00.IN']]]/Table1[[#This Row],[Current health expenditure per capita (current US$) '[SH.XPD.CHEX.PC.CD']]]</f>
        <v>3.8933828007950644E-2</v>
      </c>
      <c r="G1782" s="4">
        <f>Table1[[#This Row],[Life expectancy at birth, total (years) '[SP.DYN.LE00.IN']]]/Table1[[#This Row],[Current health expenditure per capita (current US$) '[SH.XPD.CHEX.PC.CD']]]*1000</f>
        <v>38.933828007950645</v>
      </c>
    </row>
    <row r="1783" spans="1:7" hidden="1" x14ac:dyDescent="0.25">
      <c r="B1783" s="1"/>
      <c r="D1783" s="3"/>
      <c r="E1783"/>
      <c r="F1783" t="e">
        <f>Table1[[#This Row],[Life expectancy at birth, total (years) '[SP.DYN.LE00.IN']]]/Table1[[#This Row],[Current health expenditure per capita (current US$) '[SH.XPD.CHEX.PC.CD']]]</f>
        <v>#DIV/0!</v>
      </c>
      <c r="G1783" s="2" t="e">
        <f>Table1[[#This Row],[Life expectancy at birth, total (years) '[SP.DYN.LE00.IN']]]/Table1[[#This Row],[Current health expenditure per capita (current US$) '[SH.XPD.CHEX.PC.CD']]]*1000</f>
        <v>#DIV/0!</v>
      </c>
    </row>
    <row r="1784" spans="1:7" x14ac:dyDescent="0.25">
      <c r="A1784" s="5" t="s">
        <v>192</v>
      </c>
      <c r="B1784" s="6" t="s">
        <v>315</v>
      </c>
      <c r="C1784" s="5">
        <v>2015</v>
      </c>
      <c r="D1784" s="7">
        <v>40.098434449999999</v>
      </c>
      <c r="E1784" s="11">
        <v>63.831000000000003</v>
      </c>
      <c r="F1784" s="10">
        <f>Table1[[#This Row],[Life expectancy at birth, total (years) '[SP.DYN.LE00.IN']]]/Table1[[#This Row],[Current health expenditure per capita (current US$) '[SH.XPD.CHEX.PC.CD']]]</f>
        <v>1.5918576591710305</v>
      </c>
      <c r="G1784" s="4">
        <f>Table1[[#This Row],[Life expectancy at birth, total (years) '[SP.DYN.LE00.IN']]]/Table1[[#This Row],[Current health expenditure per capita (current US$) '[SH.XPD.CHEX.PC.CD']]]*1000</f>
        <v>1591.8576591710305</v>
      </c>
    </row>
    <row r="1785" spans="1:7" x14ac:dyDescent="0.25">
      <c r="A1785" s="5" t="s">
        <v>192</v>
      </c>
      <c r="B1785" s="6" t="s">
        <v>315</v>
      </c>
      <c r="C1785" s="5">
        <v>2016</v>
      </c>
      <c r="D1785" s="7">
        <v>39.081253050000001</v>
      </c>
      <c r="E1785" s="11">
        <v>64.494</v>
      </c>
      <c r="F1785" s="10">
        <f>Table1[[#This Row],[Life expectancy at birth, total (years) '[SP.DYN.LE00.IN']]]/Table1[[#This Row],[Current health expenditure per capita (current US$) '[SH.XPD.CHEX.PC.CD']]]</f>
        <v>1.6502541491565608</v>
      </c>
      <c r="G1785" s="4">
        <f>Table1[[#This Row],[Life expectancy at birth, total (years) '[SP.DYN.LE00.IN']]]/Table1[[#This Row],[Current health expenditure per capita (current US$) '[SH.XPD.CHEX.PC.CD']]]*1000</f>
        <v>1650.2541491565607</v>
      </c>
    </row>
    <row r="1786" spans="1:7" x14ac:dyDescent="0.25">
      <c r="A1786" s="5" t="s">
        <v>192</v>
      </c>
      <c r="B1786" s="6" t="s">
        <v>315</v>
      </c>
      <c r="C1786" s="5">
        <v>2017</v>
      </c>
      <c r="D1786" s="7">
        <v>31.438180920000001</v>
      </c>
      <c r="E1786" s="11">
        <v>65.174000000000007</v>
      </c>
      <c r="F1786" s="10">
        <f>Table1[[#This Row],[Life expectancy at birth, total (years) '[SP.DYN.LE00.IN']]]/Table1[[#This Row],[Current health expenditure per capita (current US$) '[SH.XPD.CHEX.PC.CD']]]</f>
        <v>2.0730843227172322</v>
      </c>
      <c r="G1786" s="4">
        <f>Table1[[#This Row],[Life expectancy at birth, total (years) '[SP.DYN.LE00.IN']]]/Table1[[#This Row],[Current health expenditure per capita (current US$) '[SH.XPD.CHEX.PC.CD']]]*1000</f>
        <v>2073.0843227172322</v>
      </c>
    </row>
    <row r="1787" spans="1:7" x14ac:dyDescent="0.25">
      <c r="A1787" s="5" t="s">
        <v>192</v>
      </c>
      <c r="B1787" s="6" t="s">
        <v>315</v>
      </c>
      <c r="C1787" s="5">
        <v>2018</v>
      </c>
      <c r="D1787" s="7">
        <v>32.951568600000002</v>
      </c>
      <c r="E1787" s="11">
        <v>65.775000000000006</v>
      </c>
      <c r="F1787" s="10">
        <f>Table1[[#This Row],[Life expectancy at birth, total (years) '[SP.DYN.LE00.IN']]]/Table1[[#This Row],[Current health expenditure per capita (current US$) '[SH.XPD.CHEX.PC.CD']]]</f>
        <v>1.9961113474883256</v>
      </c>
      <c r="G1787" s="4">
        <f>Table1[[#This Row],[Life expectancy at birth, total (years) '[SP.DYN.LE00.IN']]]/Table1[[#This Row],[Current health expenditure per capita (current US$) '[SH.XPD.CHEX.PC.CD']]]*1000</f>
        <v>1996.1113474883257</v>
      </c>
    </row>
    <row r="1788" spans="1:7" x14ac:dyDescent="0.25">
      <c r="A1788" s="5" t="s">
        <v>192</v>
      </c>
      <c r="B1788" s="6" t="s">
        <v>315</v>
      </c>
      <c r="C1788" s="5">
        <v>2019</v>
      </c>
      <c r="D1788" s="7">
        <v>33.365596770000003</v>
      </c>
      <c r="E1788" s="11">
        <v>66.353999999999999</v>
      </c>
      <c r="F1788" s="10">
        <f>Table1[[#This Row],[Life expectancy at birth, total (years) '[SP.DYN.LE00.IN']]]/Table1[[#This Row],[Current health expenditure per capita (current US$) '[SH.XPD.CHEX.PC.CD']]]</f>
        <v>1.9886951358130913</v>
      </c>
      <c r="G1788" s="4">
        <f>Table1[[#This Row],[Life expectancy at birth, total (years) '[SP.DYN.LE00.IN']]]/Table1[[#This Row],[Current health expenditure per capita (current US$) '[SH.XPD.CHEX.PC.CD']]]*1000</f>
        <v>1988.6951358130914</v>
      </c>
    </row>
    <row r="1789" spans="1:7" x14ac:dyDescent="0.25">
      <c r="A1789" s="5" t="s">
        <v>192</v>
      </c>
      <c r="B1789" s="6" t="s">
        <v>315</v>
      </c>
      <c r="C1789" s="5">
        <v>2020</v>
      </c>
      <c r="D1789" s="7">
        <v>44.733818049999996</v>
      </c>
      <c r="E1789" s="11">
        <v>66.41</v>
      </c>
      <c r="F1789" s="10">
        <f>Table1[[#This Row],[Life expectancy at birth, total (years) '[SP.DYN.LE00.IN']]]/Table1[[#This Row],[Current health expenditure per capita (current US$) '[SH.XPD.CHEX.PC.CD']]]</f>
        <v>1.4845591745773197</v>
      </c>
      <c r="G1789" s="4">
        <f>Table1[[#This Row],[Life expectancy at birth, total (years) '[SP.DYN.LE00.IN']]]/Table1[[#This Row],[Current health expenditure per capita (current US$) '[SH.XPD.CHEX.PC.CD']]]*1000</f>
        <v>1484.5591745773197</v>
      </c>
    </row>
    <row r="1790" spans="1:7" x14ac:dyDescent="0.25">
      <c r="A1790" s="5" t="s">
        <v>192</v>
      </c>
      <c r="B1790" s="6" t="s">
        <v>315</v>
      </c>
      <c r="C1790" s="5">
        <v>2021</v>
      </c>
      <c r="D1790" s="7">
        <v>51.034847259999999</v>
      </c>
      <c r="E1790" s="11">
        <v>66.45</v>
      </c>
      <c r="F1790" s="10">
        <f>Table1[[#This Row],[Life expectancy at birth, total (years) '[SP.DYN.LE00.IN']]]/Table1[[#This Row],[Current health expenditure per capita (current US$) '[SH.XPD.CHEX.PC.CD']]]</f>
        <v>1.3020515112246072</v>
      </c>
      <c r="G1790" s="4">
        <f>Table1[[#This Row],[Life expectancy at birth, total (years) '[SP.DYN.LE00.IN']]]/Table1[[#This Row],[Current health expenditure per capita (current US$) '[SH.XPD.CHEX.PC.CD']]]*1000</f>
        <v>1302.0515112246071</v>
      </c>
    </row>
    <row r="1791" spans="1:7" x14ac:dyDescent="0.25">
      <c r="A1791" s="5" t="s">
        <v>192</v>
      </c>
      <c r="B1791" s="6" t="s">
        <v>315</v>
      </c>
      <c r="C1791" s="5">
        <v>2022</v>
      </c>
      <c r="D1791" s="7">
        <v>44.472862239999998</v>
      </c>
      <c r="E1791" s="11">
        <v>67.674999999999997</v>
      </c>
      <c r="F1791" s="10">
        <f>Table1[[#This Row],[Life expectancy at birth, total (years) '[SP.DYN.LE00.IN']]]/Table1[[#This Row],[Current health expenditure per capita (current US$) '[SH.XPD.CHEX.PC.CD']]]</f>
        <v>1.52171451513034</v>
      </c>
      <c r="G1791" s="4">
        <f>Table1[[#This Row],[Life expectancy at birth, total (years) '[SP.DYN.LE00.IN']]]/Table1[[#This Row],[Current health expenditure per capita (current US$) '[SH.XPD.CHEX.PC.CD']]]*1000</f>
        <v>1521.71451513034</v>
      </c>
    </row>
    <row r="1792" spans="1:7" x14ac:dyDescent="0.25">
      <c r="A1792" s="5" t="s">
        <v>192</v>
      </c>
      <c r="B1792" s="6" t="s">
        <v>315</v>
      </c>
      <c r="C1792" s="5">
        <v>2023</v>
      </c>
      <c r="D1792" s="7">
        <v>45.21318436</v>
      </c>
      <c r="E1792" s="11">
        <v>68.251999999999995</v>
      </c>
      <c r="F1792" s="10">
        <f>Table1[[#This Row],[Life expectancy at birth, total (years) '[SP.DYN.LE00.IN']]]/Table1[[#This Row],[Current health expenditure per capita (current US$) '[SH.XPD.CHEX.PC.CD']]]</f>
        <v>1.5095596774728033</v>
      </c>
      <c r="G1792" s="4">
        <f>Table1[[#This Row],[Life expectancy at birth, total (years) '[SP.DYN.LE00.IN']]]/Table1[[#This Row],[Current health expenditure per capita (current US$) '[SH.XPD.CHEX.PC.CD']]]*1000</f>
        <v>1509.5596774728033</v>
      </c>
    </row>
    <row r="1793" spans="1:7" hidden="1" x14ac:dyDescent="0.25">
      <c r="B1793" s="1"/>
      <c r="D1793" s="3"/>
      <c r="E1793"/>
      <c r="F1793" t="e">
        <f>Table1[[#This Row],[Life expectancy at birth, total (years) '[SP.DYN.LE00.IN']]]/Table1[[#This Row],[Current health expenditure per capita (current US$) '[SH.XPD.CHEX.PC.CD']]]</f>
        <v>#DIV/0!</v>
      </c>
      <c r="G1793" s="2" t="e">
        <f>Table1[[#This Row],[Life expectancy at birth, total (years) '[SP.DYN.LE00.IN']]]/Table1[[#This Row],[Current health expenditure per capita (current US$) '[SH.XPD.CHEX.PC.CD']]]*1000</f>
        <v>#DIV/0!</v>
      </c>
    </row>
    <row r="1794" spans="1:7" x14ac:dyDescent="0.25">
      <c r="A1794" s="5" t="s">
        <v>122</v>
      </c>
      <c r="B1794" s="6" t="s">
        <v>259</v>
      </c>
      <c r="C1794" s="5">
        <v>2015</v>
      </c>
      <c r="D1794" s="7">
        <v>154.75454712000001</v>
      </c>
      <c r="E1794" s="11">
        <v>72.686000000000007</v>
      </c>
      <c r="F1794" s="10">
        <f>Table1[[#This Row],[Life expectancy at birth, total (years) '[SP.DYN.LE00.IN']]]/Table1[[#This Row],[Current health expenditure per capita (current US$) '[SH.XPD.CHEX.PC.CD']]]</f>
        <v>0.4696857142662032</v>
      </c>
      <c r="G1794" s="4">
        <f>Table1[[#This Row],[Life expectancy at birth, total (years) '[SP.DYN.LE00.IN']]]/Table1[[#This Row],[Current health expenditure per capita (current US$) '[SH.XPD.CHEX.PC.CD']]]*1000</f>
        <v>469.68571426620321</v>
      </c>
    </row>
    <row r="1795" spans="1:7" x14ac:dyDescent="0.25">
      <c r="A1795" s="5" t="s">
        <v>122</v>
      </c>
      <c r="B1795" s="6" t="s">
        <v>259</v>
      </c>
      <c r="C1795" s="5">
        <v>2016</v>
      </c>
      <c r="D1795" s="7">
        <v>154.5546875</v>
      </c>
      <c r="E1795" s="11">
        <v>73.388999999999996</v>
      </c>
      <c r="F1795" s="10">
        <f>Table1[[#This Row],[Life expectancy at birth, total (years) '[SP.DYN.LE00.IN']]]/Table1[[#This Row],[Current health expenditure per capita (current US$) '[SH.XPD.CHEX.PC.CD']]]</f>
        <v>0.47484163170398824</v>
      </c>
      <c r="G1795" s="4">
        <f>Table1[[#This Row],[Life expectancy at birth, total (years) '[SP.DYN.LE00.IN']]]/Table1[[#This Row],[Current health expenditure per capita (current US$) '[SH.XPD.CHEX.PC.CD']]]*1000</f>
        <v>474.84163170398824</v>
      </c>
    </row>
    <row r="1796" spans="1:7" x14ac:dyDescent="0.25">
      <c r="A1796" s="5" t="s">
        <v>122</v>
      </c>
      <c r="B1796" s="6" t="s">
        <v>259</v>
      </c>
      <c r="C1796" s="5">
        <v>2017</v>
      </c>
      <c r="D1796" s="7">
        <v>183.69506835999999</v>
      </c>
      <c r="E1796" s="11">
        <v>73.992999999999995</v>
      </c>
      <c r="F1796" s="10">
        <f>Table1[[#This Row],[Life expectancy at birth, total (years) '[SP.DYN.LE00.IN']]]/Table1[[#This Row],[Current health expenditure per capita (current US$) '[SH.XPD.CHEX.PC.CD']]]</f>
        <v>0.40280341035062939</v>
      </c>
      <c r="G1796" s="4">
        <f>Table1[[#This Row],[Life expectancy at birth, total (years) '[SP.DYN.LE00.IN']]]/Table1[[#This Row],[Current health expenditure per capita (current US$) '[SH.XPD.CHEX.PC.CD']]]*1000</f>
        <v>402.80341035062941</v>
      </c>
    </row>
    <row r="1797" spans="1:7" x14ac:dyDescent="0.25">
      <c r="A1797" s="5" t="s">
        <v>122</v>
      </c>
      <c r="B1797" s="6" t="s">
        <v>259</v>
      </c>
      <c r="C1797" s="5">
        <v>2018</v>
      </c>
      <c r="D1797" s="7">
        <v>217.73760985999999</v>
      </c>
      <c r="E1797" s="11">
        <v>73.569000000000003</v>
      </c>
      <c r="F1797" s="10">
        <f>Table1[[#This Row],[Life expectancy at birth, total (years) '[SP.DYN.LE00.IN']]]/Table1[[#This Row],[Current health expenditure per capita (current US$) '[SH.XPD.CHEX.PC.CD']]]</f>
        <v>0.33787915669370616</v>
      </c>
      <c r="G1797" s="4">
        <f>Table1[[#This Row],[Life expectancy at birth, total (years) '[SP.DYN.LE00.IN']]]/Table1[[#This Row],[Current health expenditure per capita (current US$) '[SH.XPD.CHEX.PC.CD']]]*1000</f>
        <v>337.87915669370614</v>
      </c>
    </row>
    <row r="1798" spans="1:7" x14ac:dyDescent="0.25">
      <c r="A1798" s="5" t="s">
        <v>122</v>
      </c>
      <c r="B1798" s="6" t="s">
        <v>259</v>
      </c>
      <c r="C1798" s="5">
        <v>2019</v>
      </c>
      <c r="D1798" s="7">
        <v>242.81388855</v>
      </c>
      <c r="E1798" s="11">
        <v>73.92</v>
      </c>
      <c r="F1798" s="10">
        <f>Table1[[#This Row],[Life expectancy at birth, total (years) '[SP.DYN.LE00.IN']]]/Table1[[#This Row],[Current health expenditure per capita (current US$) '[SH.XPD.CHEX.PC.CD']]]</f>
        <v>0.3044306915120239</v>
      </c>
      <c r="G1798" s="4">
        <f>Table1[[#This Row],[Life expectancy at birth, total (years) '[SP.DYN.LE00.IN']]]/Table1[[#This Row],[Current health expenditure per capita (current US$) '[SH.XPD.CHEX.PC.CD']]]*1000</f>
        <v>304.43069151202388</v>
      </c>
    </row>
    <row r="1799" spans="1:7" x14ac:dyDescent="0.25">
      <c r="A1799" s="5" t="s">
        <v>122</v>
      </c>
      <c r="B1799" s="6" t="s">
        <v>259</v>
      </c>
      <c r="C1799" s="5">
        <v>2020</v>
      </c>
      <c r="D1799" s="7">
        <v>265.07846068999999</v>
      </c>
      <c r="E1799" s="11">
        <v>73.283000000000001</v>
      </c>
      <c r="F1799" s="10">
        <f>Table1[[#This Row],[Life expectancy at birth, total (years) '[SP.DYN.LE00.IN']]]/Table1[[#This Row],[Current health expenditure per capita (current US$) '[SH.XPD.CHEX.PC.CD']]]</f>
        <v>0.27645776955714979</v>
      </c>
      <c r="G1799" s="4">
        <f>Table1[[#This Row],[Life expectancy at birth, total (years) '[SP.DYN.LE00.IN']]]/Table1[[#This Row],[Current health expenditure per capita (current US$) '[SH.XPD.CHEX.PC.CD']]]*1000</f>
        <v>276.45776955714979</v>
      </c>
    </row>
    <row r="1800" spans="1:7" x14ac:dyDescent="0.25">
      <c r="A1800" s="5" t="s">
        <v>122</v>
      </c>
      <c r="B1800" s="6" t="s">
        <v>259</v>
      </c>
      <c r="C1800" s="5">
        <v>2021</v>
      </c>
      <c r="D1800" s="7">
        <v>369.90487671</v>
      </c>
      <c r="E1800" s="11">
        <v>71.631</v>
      </c>
      <c r="F1800" s="10">
        <f>Table1[[#This Row],[Life expectancy at birth, total (years) '[SP.DYN.LE00.IN']]]/Table1[[#This Row],[Current health expenditure per capita (current US$) '[SH.XPD.CHEX.PC.CD']]]</f>
        <v>0.19364708202038022</v>
      </c>
      <c r="G1800" s="4">
        <f>Table1[[#This Row],[Life expectancy at birth, total (years) '[SP.DYN.LE00.IN']]]/Table1[[#This Row],[Current health expenditure per capita (current US$) '[SH.XPD.CHEX.PC.CD']]]*1000</f>
        <v>193.64708202038022</v>
      </c>
    </row>
    <row r="1801" spans="1:7" x14ac:dyDescent="0.25">
      <c r="A1801" s="5" t="s">
        <v>122</v>
      </c>
      <c r="B1801" s="6" t="s">
        <v>259</v>
      </c>
      <c r="C1801" s="5">
        <v>2022</v>
      </c>
      <c r="D1801" s="7">
        <v>1343.5051660862803</v>
      </c>
      <c r="E1801" s="11">
        <v>72.658000000000001</v>
      </c>
      <c r="F1801" s="10">
        <f>Table1[[#This Row],[Life expectancy at birth, total (years) '[SP.DYN.LE00.IN']]]/Table1[[#This Row],[Current health expenditure per capita (current US$) '[SH.XPD.CHEX.PC.CD']]]</f>
        <v>5.4080923418893562E-2</v>
      </c>
      <c r="G1801" s="4">
        <f>Table1[[#This Row],[Life expectancy at birth, total (years) '[SP.DYN.LE00.IN']]]/Table1[[#This Row],[Current health expenditure per capita (current US$) '[SH.XPD.CHEX.PC.CD']]]*1000</f>
        <v>54.080923418893562</v>
      </c>
    </row>
    <row r="1802" spans="1:7" x14ac:dyDescent="0.25">
      <c r="A1802" s="5" t="s">
        <v>122</v>
      </c>
      <c r="B1802" s="6" t="s">
        <v>259</v>
      </c>
      <c r="C1802" s="5">
        <v>2023</v>
      </c>
      <c r="D1802" s="7">
        <v>1408.5658459490091</v>
      </c>
      <c r="E1802" s="11">
        <v>73.421999999999997</v>
      </c>
      <c r="F1802" s="10">
        <f>Table1[[#This Row],[Life expectancy at birth, total (years) '[SP.DYN.LE00.IN']]]/Table1[[#This Row],[Current health expenditure per capita (current US$) '[SH.XPD.CHEX.PC.CD']]]</f>
        <v>5.2125358719409071E-2</v>
      </c>
      <c r="G1802" s="4">
        <f>Table1[[#This Row],[Life expectancy at birth, total (years) '[SP.DYN.LE00.IN']]]/Table1[[#This Row],[Current health expenditure per capita (current US$) '[SH.XPD.CHEX.PC.CD']]]*1000</f>
        <v>52.125358719409071</v>
      </c>
    </row>
    <row r="1803" spans="1:7" hidden="1" x14ac:dyDescent="0.25">
      <c r="B1803" s="1"/>
      <c r="D1803" s="3"/>
      <c r="E1803"/>
      <c r="F1803" t="e">
        <f>Table1[[#This Row],[Life expectancy at birth, total (years) '[SP.DYN.LE00.IN']]]/Table1[[#This Row],[Current health expenditure per capita (current US$) '[SH.XPD.CHEX.PC.CD']]]</f>
        <v>#DIV/0!</v>
      </c>
      <c r="G1803" s="2" t="e">
        <f>Table1[[#This Row],[Life expectancy at birth, total (years) '[SP.DYN.LE00.IN']]]/Table1[[#This Row],[Current health expenditure per capita (current US$) '[SH.XPD.CHEX.PC.CD']]]*1000</f>
        <v>#DIV/0!</v>
      </c>
    </row>
    <row r="1804" spans="1:7" x14ac:dyDescent="0.25">
      <c r="A1804" s="5" t="s">
        <v>37</v>
      </c>
      <c r="B1804" s="6" t="s">
        <v>174</v>
      </c>
      <c r="C1804" s="5">
        <v>2015</v>
      </c>
      <c r="D1804" s="7">
        <v>1479.4974365200001</v>
      </c>
      <c r="E1804" s="11">
        <v>82.075999999999993</v>
      </c>
      <c r="F1804" s="10">
        <f>Table1[[#This Row],[Life expectancy at birth, total (years) '[SP.DYN.LE00.IN']]]/Table1[[#This Row],[Current health expenditure per capita (current US$) '[SH.XPD.CHEX.PC.CD']]]</f>
        <v>5.5475594599917022E-2</v>
      </c>
      <c r="G1804" s="4">
        <f>Table1[[#This Row],[Life expectancy at birth, total (years) '[SP.DYN.LE00.IN']]]/Table1[[#This Row],[Current health expenditure per capita (current US$) '[SH.XPD.CHEX.PC.CD']]]*1000</f>
        <v>55.475594599917024</v>
      </c>
    </row>
    <row r="1805" spans="1:7" x14ac:dyDescent="0.25">
      <c r="A1805" s="5" t="s">
        <v>37</v>
      </c>
      <c r="B1805" s="6" t="s">
        <v>174</v>
      </c>
      <c r="C1805" s="5">
        <v>2016</v>
      </c>
      <c r="D1805" s="7">
        <v>1592.9190673799999</v>
      </c>
      <c r="E1805" s="11">
        <v>82.194999999999993</v>
      </c>
      <c r="F1805" s="10">
        <f>Table1[[#This Row],[Life expectancy at birth, total (years) '[SP.DYN.LE00.IN']]]/Table1[[#This Row],[Current health expenditure per capita (current US$) '[SH.XPD.CHEX.PC.CD']]]</f>
        <v>5.1600236121972357E-2</v>
      </c>
      <c r="G1805" s="4">
        <f>Table1[[#This Row],[Life expectancy at birth, total (years) '[SP.DYN.LE00.IN']]]/Table1[[#This Row],[Current health expenditure per capita (current US$) '[SH.XPD.CHEX.PC.CD']]]*1000</f>
        <v>51.600236121972358</v>
      </c>
    </row>
    <row r="1806" spans="1:7" x14ac:dyDescent="0.25">
      <c r="A1806" s="5" t="s">
        <v>37</v>
      </c>
      <c r="B1806" s="6" t="s">
        <v>174</v>
      </c>
      <c r="C1806" s="5">
        <v>2017</v>
      </c>
      <c r="D1806" s="7">
        <v>1695.203125</v>
      </c>
      <c r="E1806" s="11">
        <v>82.388000000000005</v>
      </c>
      <c r="F1806" s="10">
        <f>Table1[[#This Row],[Life expectancy at birth, total (years) '[SP.DYN.LE00.IN']]]/Table1[[#This Row],[Current health expenditure per capita (current US$) '[SH.XPD.CHEX.PC.CD']]]</f>
        <v>4.8600665480722262E-2</v>
      </c>
      <c r="G1806" s="4">
        <f>Table1[[#This Row],[Life expectancy at birth, total (years) '[SP.DYN.LE00.IN']]]/Table1[[#This Row],[Current health expenditure per capita (current US$) '[SH.XPD.CHEX.PC.CD']]]*1000</f>
        <v>48.600665480722263</v>
      </c>
    </row>
    <row r="1807" spans="1:7" x14ac:dyDescent="0.25">
      <c r="A1807" s="5" t="s">
        <v>37</v>
      </c>
      <c r="B1807" s="6" t="s">
        <v>174</v>
      </c>
      <c r="C1807" s="5">
        <v>2018</v>
      </c>
      <c r="D1807" s="7">
        <v>1872.5842285199999</v>
      </c>
      <c r="E1807" s="11">
        <v>82.448999999999998</v>
      </c>
      <c r="F1807" s="10">
        <f>Table1[[#This Row],[Life expectancy at birth, total (years) '[SP.DYN.LE00.IN']]]/Table1[[#This Row],[Current health expenditure per capita (current US$) '[SH.XPD.CHEX.PC.CD']]]</f>
        <v>4.4029528148468763E-2</v>
      </c>
      <c r="G1807" s="4">
        <f>Table1[[#This Row],[Life expectancy at birth, total (years) '[SP.DYN.LE00.IN']]]/Table1[[#This Row],[Current health expenditure per capita (current US$) '[SH.XPD.CHEX.PC.CD']]]*1000</f>
        <v>44.029528148468764</v>
      </c>
    </row>
    <row r="1808" spans="1:7" x14ac:dyDescent="0.25">
      <c r="A1808" s="5" t="s">
        <v>37</v>
      </c>
      <c r="B1808" s="6" t="s">
        <v>174</v>
      </c>
      <c r="C1808" s="5">
        <v>2019</v>
      </c>
      <c r="D1808" s="7">
        <v>1962.4672851600001</v>
      </c>
      <c r="E1808" s="11">
        <v>82.596000000000004</v>
      </c>
      <c r="F1808" s="10">
        <f>Table1[[#This Row],[Life expectancy at birth, total (years) '[SP.DYN.LE00.IN']]]/Table1[[#This Row],[Current health expenditure per capita (current US$) '[SH.XPD.CHEX.PC.CD']]]</f>
        <v>4.208783536142665E-2</v>
      </c>
      <c r="G1808" s="4">
        <f>Table1[[#This Row],[Life expectancy at birth, total (years) '[SP.DYN.LE00.IN']]]/Table1[[#This Row],[Current health expenditure per capita (current US$) '[SH.XPD.CHEX.PC.CD']]]*1000</f>
        <v>42.087835361426649</v>
      </c>
    </row>
    <row r="1809" spans="1:7" x14ac:dyDescent="0.25">
      <c r="A1809" s="5" t="s">
        <v>37</v>
      </c>
      <c r="B1809" s="6" t="s">
        <v>174</v>
      </c>
      <c r="C1809" s="5">
        <v>2020</v>
      </c>
      <c r="D1809" s="7">
        <v>2154.4111328099998</v>
      </c>
      <c r="E1809" s="11">
        <v>81.936000000000007</v>
      </c>
      <c r="F1809" s="10">
        <f>Table1[[#This Row],[Life expectancy at birth, total (years) '[SP.DYN.LE00.IN']]]/Table1[[#This Row],[Current health expenditure per capita (current US$) '[SH.XPD.CHEX.PC.CD']]]</f>
        <v>3.8031738117288147E-2</v>
      </c>
      <c r="G1809" s="4">
        <f>Table1[[#This Row],[Life expectancy at birth, total (years) '[SP.DYN.LE00.IN']]]/Table1[[#This Row],[Current health expenditure per capita (current US$) '[SH.XPD.CHEX.PC.CD']]]*1000</f>
        <v>38.03173811728815</v>
      </c>
    </row>
    <row r="1810" spans="1:7" x14ac:dyDescent="0.25">
      <c r="A1810" s="5" t="s">
        <v>37</v>
      </c>
      <c r="B1810" s="6" t="s">
        <v>174</v>
      </c>
      <c r="C1810" s="5">
        <v>2021</v>
      </c>
      <c r="D1810" s="7">
        <v>2249.9631347700001</v>
      </c>
      <c r="E1810" s="11">
        <v>79.082999999999998</v>
      </c>
      <c r="F1810" s="10">
        <f>Table1[[#This Row],[Life expectancy at birth, total (years) '[SP.DYN.LE00.IN']]]/Table1[[#This Row],[Current health expenditure per capita (current US$) '[SH.XPD.CHEX.PC.CD']]]</f>
        <v>3.5148575893481991E-2</v>
      </c>
      <c r="G1810" s="4">
        <f>Table1[[#This Row],[Life expectancy at birth, total (years) '[SP.DYN.LE00.IN']]]/Table1[[#This Row],[Current health expenditure per capita (current US$) '[SH.XPD.CHEX.PC.CD']]]*1000</f>
        <v>35.14857589348199</v>
      </c>
    </row>
    <row r="1811" spans="1:7" x14ac:dyDescent="0.25">
      <c r="A1811" s="5" t="s">
        <v>37</v>
      </c>
      <c r="B1811" s="6" t="s">
        <v>174</v>
      </c>
      <c r="C1811" s="5">
        <v>2022</v>
      </c>
      <c r="D1811" s="7">
        <v>2240.9050293</v>
      </c>
      <c r="E1811" s="11">
        <v>80.486999999999995</v>
      </c>
      <c r="F1811" s="10">
        <f>Table1[[#This Row],[Life expectancy at birth, total (years) '[SP.DYN.LE00.IN']]]/Table1[[#This Row],[Current health expenditure per capita (current US$) '[SH.XPD.CHEX.PC.CD']]]</f>
        <v>3.5917184774734531E-2</v>
      </c>
      <c r="G1811" s="4">
        <f>Table1[[#This Row],[Life expectancy at birth, total (years) '[SP.DYN.LE00.IN']]]/Table1[[#This Row],[Current health expenditure per capita (current US$) '[SH.XPD.CHEX.PC.CD']]]*1000</f>
        <v>35.91718477473453</v>
      </c>
    </row>
    <row r="1812" spans="1:7" x14ac:dyDescent="0.25">
      <c r="A1812" s="5" t="s">
        <v>37</v>
      </c>
      <c r="B1812" s="6" t="s">
        <v>174</v>
      </c>
      <c r="C1812" s="5">
        <v>2023</v>
      </c>
      <c r="D1812" s="7">
        <v>2401.5202636700001</v>
      </c>
      <c r="E1812" s="11">
        <v>82.909000000000006</v>
      </c>
      <c r="F1812" s="10">
        <f>Table1[[#This Row],[Life expectancy at birth, total (years) '[SP.DYN.LE00.IN']]]/Table1[[#This Row],[Current health expenditure per capita (current US$) '[SH.XPD.CHEX.PC.CD']]]</f>
        <v>3.4523547960115308E-2</v>
      </c>
      <c r="G1812" s="4">
        <f>Table1[[#This Row],[Life expectancy at birth, total (years) '[SP.DYN.LE00.IN']]]/Table1[[#This Row],[Current health expenditure per capita (current US$) '[SH.XPD.CHEX.PC.CD']]]*1000</f>
        <v>34.523547960115309</v>
      </c>
    </row>
    <row r="1813" spans="1:7" hidden="1" x14ac:dyDescent="0.25">
      <c r="B1813" s="1"/>
      <c r="D1813" s="3"/>
      <c r="E1813"/>
      <c r="F1813" t="e">
        <f>Table1[[#This Row],[Life expectancy at birth, total (years) '[SP.DYN.LE00.IN']]]/Table1[[#This Row],[Current health expenditure per capita (current US$) '[SH.XPD.CHEX.PC.CD']]]</f>
        <v>#DIV/0!</v>
      </c>
      <c r="G1813" s="2" t="e">
        <f>Table1[[#This Row],[Life expectancy at birth, total (years) '[SP.DYN.LE00.IN']]]/Table1[[#This Row],[Current health expenditure per capita (current US$) '[SH.XPD.CHEX.PC.CD']]]*1000</f>
        <v>#DIV/0!</v>
      </c>
    </row>
    <row r="1814" spans="1:7" x14ac:dyDescent="0.25">
      <c r="A1814" s="5" t="s">
        <v>198</v>
      </c>
      <c r="B1814" s="6" t="s">
        <v>187</v>
      </c>
      <c r="C1814" s="5">
        <v>2015</v>
      </c>
      <c r="D1814" s="7">
        <v>4470.0922851599998</v>
      </c>
      <c r="E1814" s="11">
        <v>80.956097560975621</v>
      </c>
      <c r="F1814" s="10">
        <f>Table1[[#This Row],[Life expectancy at birth, total (years) '[SP.DYN.LE00.IN']]]/Table1[[#This Row],[Current health expenditure per capita (current US$) '[SH.XPD.CHEX.PC.CD']]]</f>
        <v>1.8110609892716772E-2</v>
      </c>
      <c r="G1814" s="4">
        <f>Table1[[#This Row],[Life expectancy at birth, total (years) '[SP.DYN.LE00.IN']]]/Table1[[#This Row],[Current health expenditure per capita (current US$) '[SH.XPD.CHEX.PC.CD']]]*1000</f>
        <v>18.11060989271677</v>
      </c>
    </row>
    <row r="1815" spans="1:7" x14ac:dyDescent="0.25">
      <c r="A1815" s="5" t="s">
        <v>198</v>
      </c>
      <c r="B1815" s="6" t="s">
        <v>187</v>
      </c>
      <c r="C1815" s="5">
        <v>2016</v>
      </c>
      <c r="D1815" s="7">
        <v>4043.3525390599998</v>
      </c>
      <c r="E1815" s="11">
        <v>81.156097560975624</v>
      </c>
      <c r="F1815" s="10">
        <f>Table1[[#This Row],[Life expectancy at birth, total (years) '[SP.DYN.LE00.IN']]]/Table1[[#This Row],[Current health expenditure per capita (current US$) '[SH.XPD.CHEX.PC.CD']]]</f>
        <v>2.0071486910177471E-2</v>
      </c>
      <c r="G1815" s="4">
        <f>Table1[[#This Row],[Life expectancy at birth, total (years) '[SP.DYN.LE00.IN']]]/Table1[[#This Row],[Current health expenditure per capita (current US$) '[SH.XPD.CHEX.PC.CD']]]*1000</f>
        <v>20.07148691017747</v>
      </c>
    </row>
    <row r="1816" spans="1:7" x14ac:dyDescent="0.25">
      <c r="A1816" s="5" t="s">
        <v>198</v>
      </c>
      <c r="B1816" s="6" t="s">
        <v>187</v>
      </c>
      <c r="C1816" s="5">
        <v>2017</v>
      </c>
      <c r="D1816" s="7">
        <v>3938.65234375</v>
      </c>
      <c r="E1816" s="11">
        <v>81.256097560975604</v>
      </c>
      <c r="F1816" s="10">
        <f>Table1[[#This Row],[Life expectancy at birth, total (years) '[SP.DYN.LE00.IN']]]/Table1[[#This Row],[Current health expenditure per capita (current US$) '[SH.XPD.CHEX.PC.CD']]]</f>
        <v>2.0630431545936214E-2</v>
      </c>
      <c r="G1816" s="4">
        <f>Table1[[#This Row],[Life expectancy at birth, total (years) '[SP.DYN.LE00.IN']]]/Table1[[#This Row],[Current health expenditure per capita (current US$) '[SH.XPD.CHEX.PC.CD']]]*1000</f>
        <v>20.630431545936215</v>
      </c>
    </row>
    <row r="1817" spans="1:7" x14ac:dyDescent="0.25">
      <c r="A1817" s="5" t="s">
        <v>198</v>
      </c>
      <c r="B1817" s="6" t="s">
        <v>187</v>
      </c>
      <c r="C1817" s="5">
        <v>2018</v>
      </c>
      <c r="D1817" s="7">
        <v>4233.6298828099998</v>
      </c>
      <c r="E1817" s="11">
        <v>81.256097560975604</v>
      </c>
      <c r="F1817" s="10">
        <f>Table1[[#This Row],[Life expectancy at birth, total (years) '[SP.DYN.LE00.IN']]]/Table1[[#This Row],[Current health expenditure per capita (current US$) '[SH.XPD.CHEX.PC.CD']]]</f>
        <v>1.9193009263965995E-2</v>
      </c>
      <c r="G1817" s="4">
        <f>Table1[[#This Row],[Life expectancy at birth, total (years) '[SP.DYN.LE00.IN']]]/Table1[[#This Row],[Current health expenditure per capita (current US$) '[SH.XPD.CHEX.PC.CD']]]*1000</f>
        <v>19.193009263965994</v>
      </c>
    </row>
    <row r="1818" spans="1:7" x14ac:dyDescent="0.25">
      <c r="A1818" s="5" t="s">
        <v>198</v>
      </c>
      <c r="B1818" s="6" t="s">
        <v>187</v>
      </c>
      <c r="C1818" s="5">
        <v>2019</v>
      </c>
      <c r="D1818" s="7">
        <v>4260.0322265599998</v>
      </c>
      <c r="E1818" s="11">
        <v>81.369121951219526</v>
      </c>
      <c r="F1818" s="10">
        <f>Table1[[#This Row],[Life expectancy at birth, total (years) '[SP.DYN.LE00.IN']]]/Table1[[#This Row],[Current health expenditure per capita (current US$) '[SH.XPD.CHEX.PC.CD']]]</f>
        <v>1.9100588357972483E-2</v>
      </c>
      <c r="G1818" s="4">
        <f>Table1[[#This Row],[Life expectancy at birth, total (years) '[SP.DYN.LE00.IN']]]/Table1[[#This Row],[Current health expenditure per capita (current US$) '[SH.XPD.CHEX.PC.CD']]]*1000</f>
        <v>19.100588357972484</v>
      </c>
    </row>
    <row r="1819" spans="1:7" x14ac:dyDescent="0.25">
      <c r="A1819" s="5" t="s">
        <v>198</v>
      </c>
      <c r="B1819" s="6" t="s">
        <v>187</v>
      </c>
      <c r="C1819" s="5">
        <v>2020</v>
      </c>
      <c r="D1819" s="7">
        <v>4865.9780273400002</v>
      </c>
      <c r="E1819" s="11">
        <v>80.331756097560984</v>
      </c>
      <c r="F1819" s="10">
        <f>Table1[[#This Row],[Life expectancy at birth, total (years) '[SP.DYN.LE00.IN']]]/Table1[[#This Row],[Current health expenditure per capita (current US$) '[SH.XPD.CHEX.PC.CD']]]</f>
        <v>1.6508861249723842E-2</v>
      </c>
      <c r="G1819" s="4">
        <f>Table1[[#This Row],[Life expectancy at birth, total (years) '[SP.DYN.LE00.IN']]]/Table1[[#This Row],[Current health expenditure per capita (current US$) '[SH.XPD.CHEX.PC.CD']]]*1000</f>
        <v>16.508861249723843</v>
      </c>
    </row>
    <row r="1820" spans="1:7" x14ac:dyDescent="0.25">
      <c r="A1820" s="5" t="s">
        <v>198</v>
      </c>
      <c r="B1820" s="6" t="s">
        <v>187</v>
      </c>
      <c r="C1820" s="5">
        <v>2021</v>
      </c>
      <c r="D1820" s="7">
        <v>5645.4013671900002</v>
      </c>
      <c r="E1820" s="11">
        <v>80.64731707317074</v>
      </c>
      <c r="F1820" s="10">
        <f>Table1[[#This Row],[Life expectancy at birth, total (years) '[SP.DYN.LE00.IN']]]/Table1[[#This Row],[Current health expenditure per capita (current US$) '[SH.XPD.CHEX.PC.CD']]]</f>
        <v>1.4285488635383415E-2</v>
      </c>
      <c r="G1820" s="4">
        <f>Table1[[#This Row],[Life expectancy at birth, total (years) '[SP.DYN.LE00.IN']]]/Table1[[#This Row],[Current health expenditure per capita (current US$) '[SH.XPD.CHEX.PC.CD']]]*1000</f>
        <v>14.285488635383414</v>
      </c>
    </row>
    <row r="1821" spans="1:7" x14ac:dyDescent="0.25">
      <c r="A1821" s="5" t="s">
        <v>198</v>
      </c>
      <c r="B1821" s="6" t="s">
        <v>187</v>
      </c>
      <c r="C1821" s="5">
        <v>2022</v>
      </c>
      <c r="D1821" s="7">
        <v>5111.8173828099998</v>
      </c>
      <c r="E1821" s="11">
        <v>81.011219512195112</v>
      </c>
      <c r="F1821" s="10">
        <f>Table1[[#This Row],[Life expectancy at birth, total (years) '[SP.DYN.LE00.IN']]]/Table1[[#This Row],[Current health expenditure per capita (current US$) '[SH.XPD.CHEX.PC.CD']]]</f>
        <v>1.5847831298633503E-2</v>
      </c>
      <c r="G1821" s="4">
        <f>Table1[[#This Row],[Life expectancy at birth, total (years) '[SP.DYN.LE00.IN']]]/Table1[[#This Row],[Current health expenditure per capita (current US$) '[SH.XPD.CHEX.PC.CD']]]*1000</f>
        <v>15.847831298633503</v>
      </c>
    </row>
    <row r="1822" spans="1:7" x14ac:dyDescent="0.25">
      <c r="A1822" s="5" t="s">
        <v>198</v>
      </c>
      <c r="B1822" s="6" t="s">
        <v>187</v>
      </c>
      <c r="C1822" s="5">
        <v>2023</v>
      </c>
      <c r="D1822" s="7">
        <v>5407.1704101599998</v>
      </c>
      <c r="E1822" s="11">
        <v>81.238097560975604</v>
      </c>
      <c r="F1822" s="10">
        <f>Table1[[#This Row],[Life expectancy at birth, total (years) '[SP.DYN.LE00.IN']]]/Table1[[#This Row],[Current health expenditure per capita (current US$) '[SH.XPD.CHEX.PC.CD']]]</f>
        <v>1.5024142277508088E-2</v>
      </c>
      <c r="G1822" s="4">
        <f>Table1[[#This Row],[Life expectancy at birth, total (years) '[SP.DYN.LE00.IN']]]/Table1[[#This Row],[Current health expenditure per capita (current US$) '[SH.XPD.CHEX.PC.CD']]]*1000</f>
        <v>15.024142277508089</v>
      </c>
    </row>
    <row r="1823" spans="1:7" hidden="1" x14ac:dyDescent="0.25">
      <c r="B1823" s="1"/>
      <c r="D1823" s="3"/>
      <c r="E1823"/>
      <c r="F1823" t="e">
        <f>Table1[[#This Row],[Life expectancy at birth, total (years) '[SP.DYN.LE00.IN']]]/Table1[[#This Row],[Current health expenditure per capita (current US$) '[SH.XPD.CHEX.PC.CD']]]</f>
        <v>#DIV/0!</v>
      </c>
      <c r="G1823" s="2" t="e">
        <f>Table1[[#This Row],[Life expectancy at birth, total (years) '[SP.DYN.LE00.IN']]]/Table1[[#This Row],[Current health expenditure per capita (current US$) '[SH.XPD.CHEX.PC.CD']]]*1000</f>
        <v>#DIV/0!</v>
      </c>
    </row>
    <row r="1824" spans="1:7" x14ac:dyDescent="0.25">
      <c r="A1824" s="5" t="s">
        <v>204</v>
      </c>
      <c r="B1824" s="6" t="s">
        <v>40</v>
      </c>
      <c r="C1824" s="5">
        <v>2015</v>
      </c>
      <c r="D1824" s="7">
        <v>9200.9316406300004</v>
      </c>
      <c r="E1824" s="11">
        <v>78.690243902439036</v>
      </c>
      <c r="F1824" s="10">
        <f>Table1[[#This Row],[Life expectancy at birth, total (years) '[SP.DYN.LE00.IN']]]/Table1[[#This Row],[Current health expenditure per capita (current US$) '[SH.XPD.CHEX.PC.CD']]]</f>
        <v>8.5524213173103197E-3</v>
      </c>
      <c r="G1824" s="4">
        <f>Table1[[#This Row],[Life expectancy at birth, total (years) '[SP.DYN.LE00.IN']]]/Table1[[#This Row],[Current health expenditure per capita (current US$) '[SH.XPD.CHEX.PC.CD']]]*1000</f>
        <v>8.5524213173103192</v>
      </c>
    </row>
    <row r="1825" spans="1:7" x14ac:dyDescent="0.25">
      <c r="A1825" s="5" t="s">
        <v>204</v>
      </c>
      <c r="B1825" s="6" t="s">
        <v>40</v>
      </c>
      <c r="C1825" s="5">
        <v>2016</v>
      </c>
      <c r="D1825" s="7">
        <v>9535.6005859399993</v>
      </c>
      <c r="E1825" s="11">
        <v>78.53902439024391</v>
      </c>
      <c r="F1825" s="10">
        <f>Table1[[#This Row],[Life expectancy at birth, total (years) '[SP.DYN.LE00.IN']]]/Table1[[#This Row],[Current health expenditure per capita (current US$) '[SH.XPD.CHEX.PC.CD']]]</f>
        <v>8.2364003905582728E-3</v>
      </c>
      <c r="G1825" s="4">
        <f>Table1[[#This Row],[Life expectancy at birth, total (years) '[SP.DYN.LE00.IN']]]/Table1[[#This Row],[Current health expenditure per capita (current US$) '[SH.XPD.CHEX.PC.CD']]]*1000</f>
        <v>8.2364003905582734</v>
      </c>
    </row>
    <row r="1826" spans="1:7" x14ac:dyDescent="0.25">
      <c r="A1826" s="5" t="s">
        <v>204</v>
      </c>
      <c r="B1826" s="6" t="s">
        <v>40</v>
      </c>
      <c r="C1826" s="5">
        <v>2017</v>
      </c>
      <c r="D1826" s="7">
        <v>9822.6064453100007</v>
      </c>
      <c r="E1826" s="11">
        <v>78.53902439024391</v>
      </c>
      <c r="F1826" s="10">
        <f>Table1[[#This Row],[Life expectancy at birth, total (years) '[SP.DYN.LE00.IN']]]/Table1[[#This Row],[Current health expenditure per capita (current US$) '[SH.XPD.CHEX.PC.CD']]]</f>
        <v>7.9957417440606037E-3</v>
      </c>
      <c r="G1826" s="4">
        <f>Table1[[#This Row],[Life expectancy at birth, total (years) '[SP.DYN.LE00.IN']]]/Table1[[#This Row],[Current health expenditure per capita (current US$) '[SH.XPD.CHEX.PC.CD']]]*1000</f>
        <v>7.995741744060604</v>
      </c>
    </row>
    <row r="1827" spans="1:7" x14ac:dyDescent="0.25">
      <c r="A1827" s="5" t="s">
        <v>204</v>
      </c>
      <c r="B1827" s="6" t="s">
        <v>40</v>
      </c>
      <c r="C1827" s="5">
        <v>2018</v>
      </c>
      <c r="D1827" s="7">
        <v>10180.48242188</v>
      </c>
      <c r="E1827" s="11">
        <v>78.639024390243918</v>
      </c>
      <c r="F1827" s="10">
        <f>Table1[[#This Row],[Life expectancy at birth, total (years) '[SP.DYN.LE00.IN']]]/Table1[[#This Row],[Current health expenditure per capita (current US$) '[SH.XPD.CHEX.PC.CD']]]</f>
        <v>7.7244889909374136E-3</v>
      </c>
      <c r="G1827" s="4">
        <f>Table1[[#This Row],[Life expectancy at birth, total (years) '[SP.DYN.LE00.IN']]]/Table1[[#This Row],[Current health expenditure per capita (current US$) '[SH.XPD.CHEX.PC.CD']]]*1000</f>
        <v>7.7244889909374139</v>
      </c>
    </row>
    <row r="1828" spans="1:7" x14ac:dyDescent="0.25">
      <c r="A1828" s="5" t="s">
        <v>204</v>
      </c>
      <c r="B1828" s="6" t="s">
        <v>40</v>
      </c>
      <c r="C1828" s="5">
        <v>2019</v>
      </c>
      <c r="D1828" s="7">
        <v>10550.22070313</v>
      </c>
      <c r="E1828" s="11">
        <v>78.787804878048775</v>
      </c>
      <c r="F1828" s="10">
        <f>Table1[[#This Row],[Life expectancy at birth, total (years) '[SP.DYN.LE00.IN']]]/Table1[[#This Row],[Current health expenditure per capita (current US$) '[SH.XPD.CHEX.PC.CD']]]</f>
        <v>7.4678821510031825E-3</v>
      </c>
      <c r="G1828" s="4">
        <f>Table1[[#This Row],[Life expectancy at birth, total (years) '[SP.DYN.LE00.IN']]]/Table1[[#This Row],[Current health expenditure per capita (current US$) '[SH.XPD.CHEX.PC.CD']]]*1000</f>
        <v>7.4678821510031828</v>
      </c>
    </row>
    <row r="1829" spans="1:7" x14ac:dyDescent="0.25">
      <c r="A1829" s="5" t="s">
        <v>204</v>
      </c>
      <c r="B1829" s="6" t="s">
        <v>40</v>
      </c>
      <c r="C1829" s="5">
        <v>2020</v>
      </c>
      <c r="D1829" s="7">
        <v>11648.495117189999</v>
      </c>
      <c r="E1829" s="11">
        <v>76.980487804878052</v>
      </c>
      <c r="F1829" s="10">
        <f>Table1[[#This Row],[Life expectancy at birth, total (years) '[SP.DYN.LE00.IN']]]/Table1[[#This Row],[Current health expenditure per capita (current US$) '[SH.XPD.CHEX.PC.CD']]]</f>
        <v>6.6086208587816516E-3</v>
      </c>
      <c r="G1829" s="4">
        <f>Table1[[#This Row],[Life expectancy at birth, total (years) '[SP.DYN.LE00.IN']]]/Table1[[#This Row],[Current health expenditure per capita (current US$) '[SH.XPD.CHEX.PC.CD']]]*1000</f>
        <v>6.6086208587816513</v>
      </c>
    </row>
    <row r="1830" spans="1:7" x14ac:dyDescent="0.25">
      <c r="A1830" s="5" t="s">
        <v>204</v>
      </c>
      <c r="B1830" s="6" t="s">
        <v>40</v>
      </c>
      <c r="C1830" s="5">
        <v>2021</v>
      </c>
      <c r="D1830" s="7">
        <v>12080.073242189999</v>
      </c>
      <c r="E1830" s="11">
        <v>76.329268292682926</v>
      </c>
      <c r="F1830" s="10">
        <f>Table1[[#This Row],[Life expectancy at birth, total (years) '[SP.DYN.LE00.IN']]]/Table1[[#This Row],[Current health expenditure per capita (current US$) '[SH.XPD.CHEX.PC.CD']]]</f>
        <v>6.3186097271414532E-3</v>
      </c>
      <c r="G1830" s="4">
        <f>Table1[[#This Row],[Life expectancy at birth, total (years) '[SP.DYN.LE00.IN']]]/Table1[[#This Row],[Current health expenditure per capita (current US$) '[SH.XPD.CHEX.PC.CD']]]*1000</f>
        <v>6.3186097271414532</v>
      </c>
    </row>
    <row r="1831" spans="1:7" x14ac:dyDescent="0.25">
      <c r="A1831" s="5" t="s">
        <v>204</v>
      </c>
      <c r="B1831" s="6" t="s">
        <v>40</v>
      </c>
      <c r="C1831" s="5">
        <v>2022</v>
      </c>
      <c r="D1831" s="7">
        <v>12586.196289060001</v>
      </c>
      <c r="E1831" s="11">
        <v>77.434146341463432</v>
      </c>
      <c r="F1831" s="10">
        <f>Table1[[#This Row],[Life expectancy at birth, total (years) '[SP.DYN.LE00.IN']]]/Table1[[#This Row],[Current health expenditure per capita (current US$) '[SH.XPD.CHEX.PC.CD']]]</f>
        <v>6.1523072231735067E-3</v>
      </c>
      <c r="G1831" s="4">
        <f>Table1[[#This Row],[Life expectancy at birth, total (years) '[SP.DYN.LE00.IN']]]/Table1[[#This Row],[Current health expenditure per capita (current US$) '[SH.XPD.CHEX.PC.CD']]]*1000</f>
        <v>6.1523072231735068</v>
      </c>
    </row>
    <row r="1832" spans="1:7" x14ac:dyDescent="0.25">
      <c r="A1832" s="5" t="s">
        <v>204</v>
      </c>
      <c r="B1832" s="6" t="s">
        <v>40</v>
      </c>
      <c r="C1832" s="5">
        <v>2023</v>
      </c>
      <c r="D1832" s="7">
        <v>13473.19335938</v>
      </c>
      <c r="E1832" s="11">
        <v>78.385365853658541</v>
      </c>
      <c r="F1832" s="10">
        <f>Table1[[#This Row],[Life expectancy at birth, total (years) '[SP.DYN.LE00.IN']]]/Table1[[#This Row],[Current health expenditure per capita (current US$) '[SH.XPD.CHEX.PC.CD']]]</f>
        <v>5.8178758192531143E-3</v>
      </c>
      <c r="G1832" s="4">
        <f>Table1[[#This Row],[Life expectancy at birth, total (years) '[SP.DYN.LE00.IN']]]/Table1[[#This Row],[Current health expenditure per capita (current US$) '[SH.XPD.CHEX.PC.CD']]]*1000</f>
        <v>5.8178758192531141</v>
      </c>
    </row>
    <row r="1833" spans="1:7" hidden="1" x14ac:dyDescent="0.25">
      <c r="B1833" s="1"/>
      <c r="D1833" s="3"/>
      <c r="E1833"/>
      <c r="F1833" t="e">
        <f>Table1[[#This Row],[Life expectancy at birth, total (years) '[SP.DYN.LE00.IN']]]/Table1[[#This Row],[Current health expenditure per capita (current US$) '[SH.XPD.CHEX.PC.CD']]]</f>
        <v>#DIV/0!</v>
      </c>
      <c r="G1833" s="2" t="e">
        <f>Table1[[#This Row],[Life expectancy at birth, total (years) '[SP.DYN.LE00.IN']]]/Table1[[#This Row],[Current health expenditure per capita (current US$) '[SH.XPD.CHEX.PC.CD']]]*1000</f>
        <v>#DIV/0!</v>
      </c>
    </row>
    <row r="1834" spans="1:7" x14ac:dyDescent="0.25">
      <c r="A1834" s="5" t="s">
        <v>126</v>
      </c>
      <c r="B1834" s="6" t="s">
        <v>148</v>
      </c>
      <c r="C1834" s="5">
        <v>2015</v>
      </c>
      <c r="D1834" s="7">
        <v>1424.8939209</v>
      </c>
      <c r="E1834" s="11">
        <v>77.284999999999997</v>
      </c>
      <c r="F1834" s="10">
        <f>Table1[[#This Row],[Life expectancy at birth, total (years) '[SP.DYN.LE00.IN']]]/Table1[[#This Row],[Current health expenditure per capita (current US$) '[SH.XPD.CHEX.PC.CD']]]</f>
        <v>5.4239125359721363E-2</v>
      </c>
      <c r="G1834" s="4">
        <f>Table1[[#This Row],[Life expectancy at birth, total (years) '[SP.DYN.LE00.IN']]]/Table1[[#This Row],[Current health expenditure per capita (current US$) '[SH.XPD.CHEX.PC.CD']]]*1000</f>
        <v>54.239125359721363</v>
      </c>
    </row>
    <row r="1835" spans="1:7" x14ac:dyDescent="0.25">
      <c r="A1835" s="5" t="s">
        <v>126</v>
      </c>
      <c r="B1835" s="6" t="s">
        <v>148</v>
      </c>
      <c r="C1835" s="5">
        <v>2016</v>
      </c>
      <c r="D1835" s="7">
        <v>1469.38964844</v>
      </c>
      <c r="E1835" s="11">
        <v>77.350999999999999</v>
      </c>
      <c r="F1835" s="10">
        <f>Table1[[#This Row],[Life expectancy at birth, total (years) '[SP.DYN.LE00.IN']]]/Table1[[#This Row],[Current health expenditure per capita (current US$) '[SH.XPD.CHEX.PC.CD']]]</f>
        <v>5.2641584947955004E-2</v>
      </c>
      <c r="G1835" s="4">
        <f>Table1[[#This Row],[Life expectancy at birth, total (years) '[SP.DYN.LE00.IN']]]/Table1[[#This Row],[Current health expenditure per capita (current US$) '[SH.XPD.CHEX.PC.CD']]]*1000</f>
        <v>52.641584947955003</v>
      </c>
    </row>
    <row r="1836" spans="1:7" x14ac:dyDescent="0.25">
      <c r="A1836" s="5" t="s">
        <v>126</v>
      </c>
      <c r="B1836" s="6" t="s">
        <v>148</v>
      </c>
      <c r="C1836" s="5">
        <v>2017</v>
      </c>
      <c r="D1836" s="7">
        <v>1672.3314209</v>
      </c>
      <c r="E1836" s="11">
        <v>77.617999999999995</v>
      </c>
      <c r="F1836" s="10">
        <f>Table1[[#This Row],[Life expectancy at birth, total (years) '[SP.DYN.LE00.IN']]]/Table1[[#This Row],[Current health expenditure per capita (current US$) '[SH.XPD.CHEX.PC.CD']]]</f>
        <v>4.6413048890888056E-2</v>
      </c>
      <c r="G1836" s="4">
        <f>Table1[[#This Row],[Life expectancy at birth, total (years) '[SP.DYN.LE00.IN']]]/Table1[[#This Row],[Current health expenditure per capita (current US$) '[SH.XPD.CHEX.PC.CD']]]*1000</f>
        <v>46.413048890888057</v>
      </c>
    </row>
    <row r="1837" spans="1:7" x14ac:dyDescent="0.25">
      <c r="A1837" s="5" t="s">
        <v>126</v>
      </c>
      <c r="B1837" s="6" t="s">
        <v>148</v>
      </c>
      <c r="C1837" s="5">
        <v>2018</v>
      </c>
      <c r="D1837" s="7">
        <v>1713.2661132799999</v>
      </c>
      <c r="E1837" s="11">
        <v>77.527000000000001</v>
      </c>
      <c r="F1837" s="10">
        <f>Table1[[#This Row],[Life expectancy at birth, total (years) '[SP.DYN.LE00.IN']]]/Table1[[#This Row],[Current health expenditure per capita (current US$) '[SH.XPD.CHEX.PC.CD']]]</f>
        <v>4.5250997144615633E-2</v>
      </c>
      <c r="G1837" s="4">
        <f>Table1[[#This Row],[Life expectancy at birth, total (years) '[SP.DYN.LE00.IN']]]/Table1[[#This Row],[Current health expenditure per capita (current US$) '[SH.XPD.CHEX.PC.CD']]]*1000</f>
        <v>45.250997144615631</v>
      </c>
    </row>
    <row r="1838" spans="1:7" x14ac:dyDescent="0.25">
      <c r="A1838" s="5" t="s">
        <v>126</v>
      </c>
      <c r="B1838" s="6" t="s">
        <v>148</v>
      </c>
      <c r="C1838" s="5">
        <v>2019</v>
      </c>
      <c r="D1838" s="7">
        <v>1692.5019531299999</v>
      </c>
      <c r="E1838" s="11">
        <v>77.503</v>
      </c>
      <c r="F1838" s="10">
        <f>Table1[[#This Row],[Life expectancy at birth, total (years) '[SP.DYN.LE00.IN']]]/Table1[[#This Row],[Current health expenditure per capita (current US$) '[SH.XPD.CHEX.PC.CD']]]</f>
        <v>4.5791970790149537E-2</v>
      </c>
      <c r="G1838" s="4">
        <f>Table1[[#This Row],[Life expectancy at birth, total (years) '[SP.DYN.LE00.IN']]]/Table1[[#This Row],[Current health expenditure per capita (current US$) '[SH.XPD.CHEX.PC.CD']]]*1000</f>
        <v>45.791970790149534</v>
      </c>
    </row>
    <row r="1839" spans="1:7" x14ac:dyDescent="0.25">
      <c r="A1839" s="5" t="s">
        <v>126</v>
      </c>
      <c r="B1839" s="6" t="s">
        <v>148</v>
      </c>
      <c r="C1839" s="5">
        <v>2020</v>
      </c>
      <c r="D1839" s="7">
        <v>1432.0046386700001</v>
      </c>
      <c r="E1839" s="11">
        <v>78.381</v>
      </c>
      <c r="F1839" s="10">
        <f>Table1[[#This Row],[Life expectancy at birth, total (years) '[SP.DYN.LE00.IN']]]/Table1[[#This Row],[Current health expenditure per capita (current US$) '[SH.XPD.CHEX.PC.CD']]]</f>
        <v>5.4735157892224259E-2</v>
      </c>
      <c r="G1839" s="4">
        <f>Table1[[#This Row],[Life expectancy at birth, total (years) '[SP.DYN.LE00.IN']]]/Table1[[#This Row],[Current health expenditure per capita (current US$) '[SH.XPD.CHEX.PC.CD']]]*1000</f>
        <v>54.735157892224258</v>
      </c>
    </row>
    <row r="1840" spans="1:7" x14ac:dyDescent="0.25">
      <c r="A1840" s="5" t="s">
        <v>126</v>
      </c>
      <c r="B1840" s="6" t="s">
        <v>148</v>
      </c>
      <c r="C1840" s="5">
        <v>2021</v>
      </c>
      <c r="D1840" s="7">
        <v>1594.9805908200001</v>
      </c>
      <c r="E1840" s="11">
        <v>75.433999999999997</v>
      </c>
      <c r="F1840" s="10">
        <f>Table1[[#This Row],[Life expectancy at birth, total (years) '[SP.DYN.LE00.IN']]]/Table1[[#This Row],[Current health expenditure per capita (current US$) '[SH.XPD.CHEX.PC.CD']]]</f>
        <v>4.7294619404251434E-2</v>
      </c>
      <c r="G1840" s="4">
        <f>Table1[[#This Row],[Life expectancy at birth, total (years) '[SP.DYN.LE00.IN']]]/Table1[[#This Row],[Current health expenditure per capita (current US$) '[SH.XPD.CHEX.PC.CD']]]*1000</f>
        <v>47.294619404251435</v>
      </c>
    </row>
    <row r="1841" spans="1:7" x14ac:dyDescent="0.25">
      <c r="A1841" s="5" t="s">
        <v>126</v>
      </c>
      <c r="B1841" s="6" t="s">
        <v>148</v>
      </c>
      <c r="C1841" s="5">
        <v>2022</v>
      </c>
      <c r="D1841" s="7">
        <v>1850.80737305</v>
      </c>
      <c r="E1841" s="11">
        <v>76.468000000000004</v>
      </c>
      <c r="F1841" s="10">
        <f>Table1[[#This Row],[Life expectancy at birth, total (years) '[SP.DYN.LE00.IN']]]/Table1[[#This Row],[Current health expenditure per capita (current US$) '[SH.XPD.CHEX.PC.CD']]]</f>
        <v>4.1316023003510158E-2</v>
      </c>
      <c r="G1841" s="4">
        <f>Table1[[#This Row],[Life expectancy at birth, total (years) '[SP.DYN.LE00.IN']]]/Table1[[#This Row],[Current health expenditure per capita (current US$) '[SH.XPD.CHEX.PC.CD']]]*1000</f>
        <v>41.316023003510161</v>
      </c>
    </row>
    <row r="1842" spans="1:7" x14ac:dyDescent="0.25">
      <c r="A1842" s="5" t="s">
        <v>126</v>
      </c>
      <c r="B1842" s="6" t="s">
        <v>148</v>
      </c>
      <c r="C1842" s="5">
        <v>2023</v>
      </c>
      <c r="D1842" s="7">
        <v>2076.0942382799999</v>
      </c>
      <c r="E1842" s="11">
        <v>78.138000000000005</v>
      </c>
      <c r="F1842" s="10">
        <f>Table1[[#This Row],[Life expectancy at birth, total (years) '[SP.DYN.LE00.IN']]]/Table1[[#This Row],[Current health expenditure per capita (current US$) '[SH.XPD.CHEX.PC.CD']]]</f>
        <v>3.7637019822730051E-2</v>
      </c>
      <c r="G1842" s="4">
        <f>Table1[[#This Row],[Life expectancy at birth, total (years) '[SP.DYN.LE00.IN']]]/Table1[[#This Row],[Current health expenditure per capita (current US$) '[SH.XPD.CHEX.PC.CD']]]*1000</f>
        <v>37.637019822730053</v>
      </c>
    </row>
    <row r="1843" spans="1:7" hidden="1" x14ac:dyDescent="0.25">
      <c r="B1843" s="1"/>
      <c r="D1843" s="3"/>
      <c r="E1843"/>
      <c r="F1843" t="e">
        <f>Table1[[#This Row],[Life expectancy at birth, total (years) '[SP.DYN.LE00.IN']]]/Table1[[#This Row],[Current health expenditure per capita (current US$) '[SH.XPD.CHEX.PC.CD']]]</f>
        <v>#DIV/0!</v>
      </c>
      <c r="G1843" s="2" t="e">
        <f>Table1[[#This Row],[Life expectancy at birth, total (years) '[SP.DYN.LE00.IN']]]/Table1[[#This Row],[Current health expenditure per capita (current US$) '[SH.XPD.CHEX.PC.CD']]]*1000</f>
        <v>#DIV/0!</v>
      </c>
    </row>
    <row r="1844" spans="1:7" x14ac:dyDescent="0.25">
      <c r="A1844" s="5" t="s">
        <v>160</v>
      </c>
      <c r="B1844" s="6" t="s">
        <v>241</v>
      </c>
      <c r="C1844" s="5">
        <v>2015</v>
      </c>
      <c r="D1844" s="7">
        <v>132.60565185999999</v>
      </c>
      <c r="E1844" s="11">
        <v>71.33</v>
      </c>
      <c r="F1844" s="10">
        <f>Table1[[#This Row],[Life expectancy at birth, total (years) '[SP.DYN.LE00.IN']]]/Table1[[#This Row],[Current health expenditure per capita (current US$) '[SH.XPD.CHEX.PC.CD']]]</f>
        <v>0.53791070742073277</v>
      </c>
      <c r="G1844" s="4">
        <f>Table1[[#This Row],[Life expectancy at birth, total (years) '[SP.DYN.LE00.IN']]]/Table1[[#This Row],[Current health expenditure per capita (current US$) '[SH.XPD.CHEX.PC.CD']]]*1000</f>
        <v>537.91070742073282</v>
      </c>
    </row>
    <row r="1845" spans="1:7" x14ac:dyDescent="0.25">
      <c r="A1845" s="5" t="s">
        <v>160</v>
      </c>
      <c r="B1845" s="6" t="s">
        <v>241</v>
      </c>
      <c r="C1845" s="5">
        <v>2016</v>
      </c>
      <c r="D1845" s="7">
        <v>129.82177734000001</v>
      </c>
      <c r="E1845" s="11">
        <v>71.58</v>
      </c>
      <c r="F1845" s="10">
        <f>Table1[[#This Row],[Life expectancy at birth, total (years) '[SP.DYN.LE00.IN']]]/Table1[[#This Row],[Current health expenditure per capita (current US$) '[SH.XPD.CHEX.PC.CD']]]</f>
        <v>0.55137128351381104</v>
      </c>
      <c r="G1845" s="4">
        <f>Table1[[#This Row],[Life expectancy at birth, total (years) '[SP.DYN.LE00.IN']]]/Table1[[#This Row],[Current health expenditure per capita (current US$) '[SH.XPD.CHEX.PC.CD']]]*1000</f>
        <v>551.37128351381102</v>
      </c>
    </row>
    <row r="1846" spans="1:7" x14ac:dyDescent="0.25">
      <c r="A1846" s="5" t="s">
        <v>160</v>
      </c>
      <c r="B1846" s="6" t="s">
        <v>241</v>
      </c>
      <c r="C1846" s="5">
        <v>2017</v>
      </c>
      <c r="D1846" s="7">
        <v>93.415153500000002</v>
      </c>
      <c r="E1846" s="11">
        <v>71.736999999999995</v>
      </c>
      <c r="F1846" s="10">
        <f>Table1[[#This Row],[Life expectancy at birth, total (years) '[SP.DYN.LE00.IN']]]/Table1[[#This Row],[Current health expenditure per capita (current US$) '[SH.XPD.CHEX.PC.CD']]]</f>
        <v>0.7679375059850434</v>
      </c>
      <c r="G1846" s="4">
        <f>Table1[[#This Row],[Life expectancy at birth, total (years) '[SP.DYN.LE00.IN']]]/Table1[[#This Row],[Current health expenditure per capita (current US$) '[SH.XPD.CHEX.PC.CD']]]*1000</f>
        <v>767.93750598504334</v>
      </c>
    </row>
    <row r="1847" spans="1:7" x14ac:dyDescent="0.25">
      <c r="A1847" s="5" t="s">
        <v>160</v>
      </c>
      <c r="B1847" s="6" t="s">
        <v>241</v>
      </c>
      <c r="C1847" s="5">
        <v>2018</v>
      </c>
      <c r="D1847" s="7">
        <v>82.530387880000006</v>
      </c>
      <c r="E1847" s="11">
        <v>71.998999999999995</v>
      </c>
      <c r="F1847" s="10">
        <f>Table1[[#This Row],[Life expectancy at birth, total (years) '[SP.DYN.LE00.IN']]]/Table1[[#This Row],[Current health expenditure per capita (current US$) '[SH.XPD.CHEX.PC.CD']]]</f>
        <v>0.87239381577470887</v>
      </c>
      <c r="G1847" s="4">
        <f>Table1[[#This Row],[Life expectancy at birth, total (years) '[SP.DYN.LE00.IN']]]/Table1[[#This Row],[Current health expenditure per capita (current US$) '[SH.XPD.CHEX.PC.CD']]]*1000</f>
        <v>872.39381577470886</v>
      </c>
    </row>
    <row r="1848" spans="1:7" x14ac:dyDescent="0.25">
      <c r="A1848" s="5" t="s">
        <v>160</v>
      </c>
      <c r="B1848" s="6" t="s">
        <v>241</v>
      </c>
      <c r="C1848" s="5">
        <v>2019</v>
      </c>
      <c r="D1848" s="7">
        <v>98.6240387</v>
      </c>
      <c r="E1848" s="11">
        <v>72.093000000000004</v>
      </c>
      <c r="F1848" s="10">
        <f>Table1[[#This Row],[Life expectancy at birth, total (years) '[SP.DYN.LE00.IN']]]/Table1[[#This Row],[Current health expenditure per capita (current US$) '[SH.XPD.CHEX.PC.CD']]]</f>
        <v>0.73098811355004878</v>
      </c>
      <c r="G1848" s="4">
        <f>Table1[[#This Row],[Life expectancy at birth, total (years) '[SP.DYN.LE00.IN']]]/Table1[[#This Row],[Current health expenditure per capita (current US$) '[SH.XPD.CHEX.PC.CD']]]*1000</f>
        <v>730.98811355004875</v>
      </c>
    </row>
    <row r="1849" spans="1:7" x14ac:dyDescent="0.25">
      <c r="A1849" s="5" t="s">
        <v>160</v>
      </c>
      <c r="B1849" s="6" t="s">
        <v>241</v>
      </c>
      <c r="C1849" s="5">
        <v>2020</v>
      </c>
      <c r="D1849" s="7">
        <v>120.29019165</v>
      </c>
      <c r="E1849" s="11">
        <v>71.460999999999999</v>
      </c>
      <c r="F1849" s="10">
        <f>Table1[[#This Row],[Life expectancy at birth, total (years) '[SP.DYN.LE00.IN']]]/Table1[[#This Row],[Current health expenditure per capita (current US$) '[SH.XPD.CHEX.PC.CD']]]</f>
        <v>0.59407171124911917</v>
      </c>
      <c r="G1849" s="4">
        <f>Table1[[#This Row],[Life expectancy at birth, total (years) '[SP.DYN.LE00.IN']]]/Table1[[#This Row],[Current health expenditure per capita (current US$) '[SH.XPD.CHEX.PC.CD']]]*1000</f>
        <v>594.07171124911918</v>
      </c>
    </row>
    <row r="1850" spans="1:7" x14ac:dyDescent="0.25">
      <c r="A1850" s="5" t="s">
        <v>160</v>
      </c>
      <c r="B1850" s="6" t="s">
        <v>241</v>
      </c>
      <c r="C1850" s="5">
        <v>2021</v>
      </c>
      <c r="D1850" s="7">
        <v>156.44789123999999</v>
      </c>
      <c r="E1850" s="11">
        <v>71.680999999999997</v>
      </c>
      <c r="F1850" s="10">
        <f>Table1[[#This Row],[Life expectancy at birth, total (years) '[SP.DYN.LE00.IN']]]/Table1[[#This Row],[Current health expenditure per capita (current US$) '[SH.XPD.CHEX.PC.CD']]]</f>
        <v>0.45817811561318683</v>
      </c>
      <c r="G1850" s="4">
        <f>Table1[[#This Row],[Life expectancy at birth, total (years) '[SP.DYN.LE00.IN']]]/Table1[[#This Row],[Current health expenditure per capita (current US$) '[SH.XPD.CHEX.PC.CD']]]*1000</f>
        <v>458.17811561318683</v>
      </c>
    </row>
    <row r="1851" spans="1:7" x14ac:dyDescent="0.25">
      <c r="A1851" s="5" t="s">
        <v>160</v>
      </c>
      <c r="B1851" s="6" t="s">
        <v>241</v>
      </c>
      <c r="C1851" s="5">
        <v>2022</v>
      </c>
      <c r="D1851" s="7">
        <v>170.64073181000001</v>
      </c>
      <c r="E1851" s="11">
        <v>72.147000000000006</v>
      </c>
      <c r="F1851" s="10">
        <f>Table1[[#This Row],[Life expectancy at birth, total (years) '[SP.DYN.LE00.IN']]]/Table1[[#This Row],[Current health expenditure per capita (current US$) '[SH.XPD.CHEX.PC.CD']]]</f>
        <v>0.42280057776786911</v>
      </c>
      <c r="G1851" s="4">
        <f>Table1[[#This Row],[Life expectancy at birth, total (years) '[SP.DYN.LE00.IN']]]/Table1[[#This Row],[Current health expenditure per capita (current US$) '[SH.XPD.CHEX.PC.CD']]]*1000</f>
        <v>422.80057776786913</v>
      </c>
    </row>
    <row r="1852" spans="1:7" x14ac:dyDescent="0.25">
      <c r="A1852" s="5" t="s">
        <v>160</v>
      </c>
      <c r="B1852" s="6" t="s">
        <v>241</v>
      </c>
      <c r="C1852" s="5">
        <v>2023</v>
      </c>
      <c r="D1852" s="7">
        <v>192.11869812</v>
      </c>
      <c r="E1852" s="11">
        <v>72.388000000000005</v>
      </c>
      <c r="F1852" s="10">
        <f>Table1[[#This Row],[Life expectancy at birth, total (years) '[SP.DYN.LE00.IN']]]/Table1[[#This Row],[Current health expenditure per capita (current US$) '[SH.XPD.CHEX.PC.CD']]]</f>
        <v>0.37678789575591154</v>
      </c>
      <c r="G1852" s="4">
        <f>Table1[[#This Row],[Life expectancy at birth, total (years) '[SP.DYN.LE00.IN']]]/Table1[[#This Row],[Current health expenditure per capita (current US$) '[SH.XPD.CHEX.PC.CD']]]*1000</f>
        <v>376.78789575591156</v>
      </c>
    </row>
    <row r="1853" spans="1:7" hidden="1" x14ac:dyDescent="0.25">
      <c r="B1853" s="1"/>
      <c r="D1853" s="3"/>
      <c r="E1853"/>
      <c r="F1853" t="e">
        <f>Table1[[#This Row],[Life expectancy at birth, total (years) '[SP.DYN.LE00.IN']]]/Table1[[#This Row],[Current health expenditure per capita (current US$) '[SH.XPD.CHEX.PC.CD']]]</f>
        <v>#DIV/0!</v>
      </c>
      <c r="G1853" s="2" t="e">
        <f>Table1[[#This Row],[Life expectancy at birth, total (years) '[SP.DYN.LE00.IN']]]/Table1[[#This Row],[Current health expenditure per capita (current US$) '[SH.XPD.CHEX.PC.CD']]]*1000</f>
        <v>#DIV/0!</v>
      </c>
    </row>
    <row r="1854" spans="1:7" x14ac:dyDescent="0.25">
      <c r="A1854" s="5" t="s">
        <v>365</v>
      </c>
      <c r="B1854" s="6" t="s">
        <v>336</v>
      </c>
      <c r="C1854" s="5">
        <v>2015</v>
      </c>
      <c r="D1854" s="7">
        <v>118.71543121000001</v>
      </c>
      <c r="E1854" s="11">
        <v>70.162999999999997</v>
      </c>
      <c r="F1854" s="10">
        <f>Table1[[#This Row],[Life expectancy at birth, total (years) '[SP.DYN.LE00.IN']]]/Table1[[#This Row],[Current health expenditure per capita (current US$) '[SH.XPD.CHEX.PC.CD']]]</f>
        <v>0.5910183645450956</v>
      </c>
      <c r="G1854" s="4">
        <f>Table1[[#This Row],[Life expectancy at birth, total (years) '[SP.DYN.LE00.IN']]]/Table1[[#This Row],[Current health expenditure per capita (current US$) '[SH.XPD.CHEX.PC.CD']]]*1000</f>
        <v>591.01836454509555</v>
      </c>
    </row>
    <row r="1855" spans="1:7" x14ac:dyDescent="0.25">
      <c r="A1855" s="5" t="s">
        <v>365</v>
      </c>
      <c r="B1855" s="6" t="s">
        <v>336</v>
      </c>
      <c r="C1855" s="5">
        <v>2016</v>
      </c>
      <c r="D1855" s="7">
        <v>88.359985350000002</v>
      </c>
      <c r="E1855" s="11">
        <v>70.397000000000006</v>
      </c>
      <c r="F1855" s="10">
        <f>Table1[[#This Row],[Life expectancy at birth, total (years) '[SP.DYN.LE00.IN']]]/Table1[[#This Row],[Current health expenditure per capita (current US$) '[SH.XPD.CHEX.PC.CD']]]</f>
        <v>0.79670678668803108</v>
      </c>
      <c r="G1855" s="4">
        <f>Table1[[#This Row],[Life expectancy at birth, total (years) '[SP.DYN.LE00.IN']]]/Table1[[#This Row],[Current health expenditure per capita (current US$) '[SH.XPD.CHEX.PC.CD']]]*1000</f>
        <v>796.70678668803112</v>
      </c>
    </row>
    <row r="1856" spans="1:7" x14ac:dyDescent="0.25">
      <c r="A1856" s="5" t="s">
        <v>365</v>
      </c>
      <c r="B1856" s="6" t="s">
        <v>336</v>
      </c>
      <c r="C1856" s="5">
        <v>2017</v>
      </c>
      <c r="D1856" s="7">
        <v>91.041282649999999</v>
      </c>
      <c r="E1856" s="11">
        <v>70.5</v>
      </c>
      <c r="F1856" s="10">
        <f>Table1[[#This Row],[Life expectancy at birth, total (years) '[SP.DYN.LE00.IN']]]/Table1[[#This Row],[Current health expenditure per capita (current US$) '[SH.XPD.CHEX.PC.CD']]]</f>
        <v>0.77437397571638888</v>
      </c>
      <c r="G1856" s="4">
        <f>Table1[[#This Row],[Life expectancy at birth, total (years) '[SP.DYN.LE00.IN']]]/Table1[[#This Row],[Current health expenditure per capita (current US$) '[SH.XPD.CHEX.PC.CD']]]*1000</f>
        <v>774.37397571638894</v>
      </c>
    </row>
    <row r="1857" spans="1:7" x14ac:dyDescent="0.25">
      <c r="A1857" s="5" t="s">
        <v>365</v>
      </c>
      <c r="B1857" s="6" t="s">
        <v>336</v>
      </c>
      <c r="C1857" s="5">
        <v>2018</v>
      </c>
      <c r="D1857" s="7">
        <v>110.32492065</v>
      </c>
      <c r="E1857" s="11">
        <v>70.626000000000005</v>
      </c>
      <c r="F1857" s="10">
        <f>Table1[[#This Row],[Life expectancy at birth, total (years) '[SP.DYN.LE00.IN']]]/Table1[[#This Row],[Current health expenditure per capita (current US$) '[SH.XPD.CHEX.PC.CD']]]</f>
        <v>0.64016361474718186</v>
      </c>
      <c r="G1857" s="4">
        <f>Table1[[#This Row],[Life expectancy at birth, total (years) '[SP.DYN.LE00.IN']]]/Table1[[#This Row],[Current health expenditure per capita (current US$) '[SH.XPD.CHEX.PC.CD']]]*1000</f>
        <v>640.1636147471819</v>
      </c>
    </row>
    <row r="1858" spans="1:7" x14ac:dyDescent="0.25">
      <c r="A1858" s="5" t="s">
        <v>365</v>
      </c>
      <c r="B1858" s="6" t="s">
        <v>336</v>
      </c>
      <c r="C1858" s="5">
        <v>2019</v>
      </c>
      <c r="D1858" s="7">
        <v>112.13746643</v>
      </c>
      <c r="E1858" s="11">
        <v>70.783000000000001</v>
      </c>
      <c r="F1858" s="10">
        <f>Table1[[#This Row],[Life expectancy at birth, total (years) '[SP.DYN.LE00.IN']]]/Table1[[#This Row],[Current health expenditure per capita (current US$) '[SH.XPD.CHEX.PC.CD']]]</f>
        <v>0.63121632986228682</v>
      </c>
      <c r="G1858" s="4">
        <f>Table1[[#This Row],[Life expectancy at birth, total (years) '[SP.DYN.LE00.IN']]]/Table1[[#This Row],[Current health expenditure per capita (current US$) '[SH.XPD.CHEX.PC.CD']]]*1000</f>
        <v>631.21632986228678</v>
      </c>
    </row>
    <row r="1859" spans="1:7" x14ac:dyDescent="0.25">
      <c r="A1859" s="5" t="s">
        <v>365</v>
      </c>
      <c r="B1859" s="6" t="s">
        <v>336</v>
      </c>
      <c r="C1859" s="5">
        <v>2020</v>
      </c>
      <c r="D1859" s="7">
        <v>125.41011047000001</v>
      </c>
      <c r="E1859" s="11">
        <v>70.385000000000005</v>
      </c>
      <c r="F1859" s="10">
        <f>Table1[[#This Row],[Life expectancy at birth, total (years) '[SP.DYN.LE00.IN']]]/Table1[[#This Row],[Current health expenditure per capita (current US$) '[SH.XPD.CHEX.PC.CD']]]</f>
        <v>0.56123864125641731</v>
      </c>
      <c r="G1859" s="4">
        <f>Table1[[#This Row],[Life expectancy at birth, total (years) '[SP.DYN.LE00.IN']]]/Table1[[#This Row],[Current health expenditure per capita (current US$) '[SH.XPD.CHEX.PC.CD']]]*1000</f>
        <v>561.23864125641728</v>
      </c>
    </row>
    <row r="1860" spans="1:7" x14ac:dyDescent="0.25">
      <c r="A1860" s="5" t="s">
        <v>365</v>
      </c>
      <c r="B1860" s="6" t="s">
        <v>336</v>
      </c>
      <c r="C1860" s="5">
        <v>2021</v>
      </c>
      <c r="D1860" s="7">
        <v>142.56698607999999</v>
      </c>
      <c r="E1860" s="11">
        <v>69.951999999999998</v>
      </c>
      <c r="F1860" s="10">
        <f>Table1[[#This Row],[Life expectancy at birth, total (years) '[SP.DYN.LE00.IN']]]/Table1[[#This Row],[Current health expenditure per capita (current US$) '[SH.XPD.CHEX.PC.CD']]]</f>
        <v>0.4906605794468234</v>
      </c>
      <c r="G1860" s="4">
        <f>Table1[[#This Row],[Life expectancy at birth, total (years) '[SP.DYN.LE00.IN']]]/Table1[[#This Row],[Current health expenditure per capita (current US$) '[SH.XPD.CHEX.PC.CD']]]*1000</f>
        <v>490.66057944682342</v>
      </c>
    </row>
    <row r="1861" spans="1:7" x14ac:dyDescent="0.25">
      <c r="A1861" s="5" t="s">
        <v>365</v>
      </c>
      <c r="B1861" s="6" t="s">
        <v>336</v>
      </c>
      <c r="C1861" s="5">
        <v>2022</v>
      </c>
      <c r="D1861" s="7">
        <v>136.79508971999999</v>
      </c>
      <c r="E1861" s="11">
        <v>71.302000000000007</v>
      </c>
      <c r="F1861" s="10">
        <f>Table1[[#This Row],[Life expectancy at birth, total (years) '[SP.DYN.LE00.IN']]]/Table1[[#This Row],[Current health expenditure per capita (current US$) '[SH.XPD.CHEX.PC.CD']]]</f>
        <v>0.52123215932636924</v>
      </c>
      <c r="G1861" s="4">
        <f>Table1[[#This Row],[Life expectancy at birth, total (years) '[SP.DYN.LE00.IN']]]/Table1[[#This Row],[Current health expenditure per capita (current US$) '[SH.XPD.CHEX.PC.CD']]]*1000</f>
        <v>521.23215932636924</v>
      </c>
    </row>
    <row r="1862" spans="1:7" x14ac:dyDescent="0.25">
      <c r="A1862" s="5" t="s">
        <v>365</v>
      </c>
      <c r="B1862" s="6" t="s">
        <v>336</v>
      </c>
      <c r="C1862" s="5">
        <v>2023</v>
      </c>
      <c r="D1862" s="7">
        <v>143.43753052</v>
      </c>
      <c r="E1862" s="11">
        <v>71.477000000000004</v>
      </c>
      <c r="F1862" s="10">
        <f>Table1[[#This Row],[Life expectancy at birth, total (years) '[SP.DYN.LE00.IN']]]/Table1[[#This Row],[Current health expenditure per capita (current US$) '[SH.XPD.CHEX.PC.CD']]]</f>
        <v>0.49831449092072677</v>
      </c>
      <c r="G1862" s="4">
        <f>Table1[[#This Row],[Life expectancy at birth, total (years) '[SP.DYN.LE00.IN']]]/Table1[[#This Row],[Current health expenditure per capita (current US$) '[SH.XPD.CHEX.PC.CD']]]*1000</f>
        <v>498.31449092072677</v>
      </c>
    </row>
    <row r="1863" spans="1:7" hidden="1" x14ac:dyDescent="0.25">
      <c r="B1863" s="1"/>
      <c r="D1863" s="3"/>
      <c r="E1863"/>
      <c r="F1863" t="e">
        <f>Table1[[#This Row],[Life expectancy at birth, total (years) '[SP.DYN.LE00.IN']]]/Table1[[#This Row],[Current health expenditure per capita (current US$) '[SH.XPD.CHEX.PC.CD']]]</f>
        <v>#DIV/0!</v>
      </c>
      <c r="G1863" s="2" t="e">
        <f>Table1[[#This Row],[Life expectancy at birth, total (years) '[SP.DYN.LE00.IN']]]/Table1[[#This Row],[Current health expenditure per capita (current US$) '[SH.XPD.CHEX.PC.CD']]]*1000</f>
        <v>#DIV/0!</v>
      </c>
    </row>
    <row r="1864" spans="1:7" x14ac:dyDescent="0.25">
      <c r="A1864" s="5" t="s">
        <v>265</v>
      </c>
      <c r="B1864" s="6" t="s">
        <v>278</v>
      </c>
      <c r="C1864" s="5">
        <v>2015</v>
      </c>
      <c r="D1864" s="7">
        <v>1047.3821096221616</v>
      </c>
      <c r="E1864" s="11">
        <v>73.004000000000005</v>
      </c>
      <c r="F1864" s="10">
        <f>Table1[[#This Row],[Life expectancy at birth, total (years) '[SP.DYN.LE00.IN']]]/Table1[[#This Row],[Current health expenditure per capita (current US$) '[SH.XPD.CHEX.PC.CD']]]</f>
        <v>6.9701400596135707E-2</v>
      </c>
      <c r="G1864" s="4">
        <f>Table1[[#This Row],[Life expectancy at birth, total (years) '[SP.DYN.LE00.IN']]]/Table1[[#This Row],[Current health expenditure per capita (current US$) '[SH.XPD.CHEX.PC.CD']]]*1000</f>
        <v>69.701400596135713</v>
      </c>
    </row>
    <row r="1865" spans="1:7" x14ac:dyDescent="0.25">
      <c r="A1865" s="5" t="s">
        <v>265</v>
      </c>
      <c r="B1865" s="6" t="s">
        <v>278</v>
      </c>
      <c r="C1865" s="5">
        <v>2016</v>
      </c>
      <c r="D1865" s="8">
        <v>1066.4781058364538</v>
      </c>
      <c r="E1865" s="11">
        <v>72.001999999999995</v>
      </c>
      <c r="F1865" s="10">
        <f>Table1[[#This Row],[Life expectancy at birth, total (years) '[SP.DYN.LE00.IN']]]/Table1[[#This Row],[Current health expenditure per capita (current US$) '[SH.XPD.CHEX.PC.CD']]]</f>
        <v>6.7513809806276151E-2</v>
      </c>
      <c r="G1865" s="4">
        <f>Table1[[#This Row],[Life expectancy at birth, total (years) '[SP.DYN.LE00.IN']]]/Table1[[#This Row],[Current health expenditure per capita (current US$) '[SH.XPD.CHEX.PC.CD']]]*1000</f>
        <v>67.513809806276157</v>
      </c>
    </row>
    <row r="1866" spans="1:7" x14ac:dyDescent="0.25">
      <c r="A1866" s="5" t="s">
        <v>265</v>
      </c>
      <c r="B1866" s="6" t="s">
        <v>278</v>
      </c>
      <c r="C1866" s="5">
        <v>2017</v>
      </c>
      <c r="D1866" s="7">
        <v>1111.5537320577832</v>
      </c>
      <c r="E1866" s="11">
        <v>71.903000000000006</v>
      </c>
      <c r="F1866" s="10">
        <f>Table1[[#This Row],[Life expectancy at birth, total (years) '[SP.DYN.LE00.IN']]]/Table1[[#This Row],[Current health expenditure per capita (current US$) '[SH.XPD.CHEX.PC.CD']]]</f>
        <v>6.4686931388272459E-2</v>
      </c>
      <c r="G1866" s="4">
        <f>Table1[[#This Row],[Life expectancy at birth, total (years) '[SP.DYN.LE00.IN']]]/Table1[[#This Row],[Current health expenditure per capita (current US$) '[SH.XPD.CHEX.PC.CD']]]*1000</f>
        <v>64.686931388272455</v>
      </c>
    </row>
    <row r="1867" spans="1:7" x14ac:dyDescent="0.25">
      <c r="A1867" s="5" t="s">
        <v>265</v>
      </c>
      <c r="B1867" s="6" t="s">
        <v>278</v>
      </c>
      <c r="C1867" s="5">
        <v>2018</v>
      </c>
      <c r="D1867" s="7">
        <v>164.68154906999999</v>
      </c>
      <c r="E1867" s="11">
        <v>72.641000000000005</v>
      </c>
      <c r="F1867" s="10">
        <f>Table1[[#This Row],[Life expectancy at birth, total (years) '[SP.DYN.LE00.IN']]]/Table1[[#This Row],[Current health expenditure per capita (current US$) '[SH.XPD.CHEX.PC.CD']]]</f>
        <v>0.44109980996792192</v>
      </c>
      <c r="G1867" s="4">
        <f>Table1[[#This Row],[Life expectancy at birth, total (years) '[SP.DYN.LE00.IN']]]/Table1[[#This Row],[Current health expenditure per capita (current US$) '[SH.XPD.CHEX.PC.CD']]]*1000</f>
        <v>441.09980996792194</v>
      </c>
    </row>
    <row r="1868" spans="1:7" x14ac:dyDescent="0.25">
      <c r="A1868" s="5" t="s">
        <v>265</v>
      </c>
      <c r="B1868" s="6" t="s">
        <v>278</v>
      </c>
      <c r="C1868" s="5">
        <v>2019</v>
      </c>
      <c r="D1868" s="7">
        <v>112.72974395999999</v>
      </c>
      <c r="E1868" s="11">
        <v>72.766000000000005</v>
      </c>
      <c r="F1868" s="10">
        <f>Table1[[#This Row],[Life expectancy at birth, total (years) '[SP.DYN.LE00.IN']]]/Table1[[#This Row],[Current health expenditure per capita (current US$) '[SH.XPD.CHEX.PC.CD']]]</f>
        <v>0.64549068811705668</v>
      </c>
      <c r="G1868" s="4">
        <f>Table1[[#This Row],[Life expectancy at birth, total (years) '[SP.DYN.LE00.IN']]]/Table1[[#This Row],[Current health expenditure per capita (current US$) '[SH.XPD.CHEX.PC.CD']]]*1000</f>
        <v>645.49068811705672</v>
      </c>
    </row>
    <row r="1869" spans="1:7" x14ac:dyDescent="0.25">
      <c r="A1869" s="5" t="s">
        <v>265</v>
      </c>
      <c r="B1869" s="6" t="s">
        <v>278</v>
      </c>
      <c r="C1869" s="5">
        <v>2020</v>
      </c>
      <c r="D1869" s="7">
        <v>153.21711730999999</v>
      </c>
      <c r="E1869" s="11">
        <v>72.369</v>
      </c>
      <c r="F1869" s="10">
        <f>Table1[[#This Row],[Life expectancy at birth, total (years) '[SP.DYN.LE00.IN']]]/Table1[[#This Row],[Current health expenditure per capita (current US$) '[SH.XPD.CHEX.PC.CD']]]</f>
        <v>0.47232973228166009</v>
      </c>
      <c r="G1869" s="4">
        <f>Table1[[#This Row],[Life expectancy at birth, total (years) '[SP.DYN.LE00.IN']]]/Table1[[#This Row],[Current health expenditure per capita (current US$) '[SH.XPD.CHEX.PC.CD']]]*1000</f>
        <v>472.32973228166009</v>
      </c>
    </row>
    <row r="1870" spans="1:7" x14ac:dyDescent="0.25">
      <c r="A1870" s="5" t="s">
        <v>265</v>
      </c>
      <c r="B1870" s="6" t="s">
        <v>278</v>
      </c>
      <c r="C1870" s="5">
        <v>2021</v>
      </c>
      <c r="D1870" s="7">
        <v>162.43952942000001</v>
      </c>
      <c r="E1870" s="11">
        <v>71.536000000000001</v>
      </c>
      <c r="F1870" s="10">
        <f>Table1[[#This Row],[Life expectancy at birth, total (years) '[SP.DYN.LE00.IN']]]/Table1[[#This Row],[Current health expenditure per capita (current US$) '[SH.XPD.CHEX.PC.CD']]]</f>
        <v>0.44038541761000871</v>
      </c>
      <c r="G1870" s="4">
        <f>Table1[[#This Row],[Life expectancy at birth, total (years) '[SP.DYN.LE00.IN']]]/Table1[[#This Row],[Current health expenditure per capita (current US$) '[SH.XPD.CHEX.PC.CD']]]*1000</f>
        <v>440.38541761000869</v>
      </c>
    </row>
    <row r="1871" spans="1:7" x14ac:dyDescent="0.25">
      <c r="A1871" s="5" t="s">
        <v>265</v>
      </c>
      <c r="B1871" s="6" t="s">
        <v>278</v>
      </c>
      <c r="C1871" s="5">
        <v>2022</v>
      </c>
      <c r="D1871" s="7">
        <v>208.66654968</v>
      </c>
      <c r="E1871" s="11">
        <v>72.566000000000003</v>
      </c>
      <c r="F1871" s="10">
        <f>Table1[[#This Row],[Life expectancy at birth, total (years) '[SP.DYN.LE00.IN']]]/Table1[[#This Row],[Current health expenditure per capita (current US$) '[SH.XPD.CHEX.PC.CD']]]</f>
        <v>0.34776057835471658</v>
      </c>
      <c r="G1871" s="4">
        <f>Table1[[#This Row],[Life expectancy at birth, total (years) '[SP.DYN.LE00.IN']]]/Table1[[#This Row],[Current health expenditure per capita (current US$) '[SH.XPD.CHEX.PC.CD']]]*1000</f>
        <v>347.76057835471659</v>
      </c>
    </row>
    <row r="1872" spans="1:7" x14ac:dyDescent="0.25">
      <c r="A1872" s="5" t="s">
        <v>265</v>
      </c>
      <c r="B1872" s="6" t="s">
        <v>278</v>
      </c>
      <c r="C1872" s="5">
        <v>2023</v>
      </c>
      <c r="D1872" s="7">
        <v>185.99124146</v>
      </c>
      <c r="E1872" s="11">
        <v>72.513999999999996</v>
      </c>
      <c r="F1872" s="10">
        <f>Table1[[#This Row],[Life expectancy at birth, total (years) '[SP.DYN.LE00.IN']]]/Table1[[#This Row],[Current health expenditure per capita (current US$) '[SH.XPD.CHEX.PC.CD']]]</f>
        <v>0.3898785740165896</v>
      </c>
      <c r="G1872" s="4">
        <f>Table1[[#This Row],[Life expectancy at birth, total (years) '[SP.DYN.LE00.IN']]]/Table1[[#This Row],[Current health expenditure per capita (current US$) '[SH.XPD.CHEX.PC.CD']]]*1000</f>
        <v>389.8785740165896</v>
      </c>
    </row>
    <row r="1873" spans="1:7" hidden="1" x14ac:dyDescent="0.25">
      <c r="B1873" s="1"/>
      <c r="D1873" s="3"/>
      <c r="E1873"/>
      <c r="F1873" t="e">
        <f>Table1[[#This Row],[Life expectancy at birth, total (years) '[SP.DYN.LE00.IN']]]/Table1[[#This Row],[Current health expenditure per capita (current US$) '[SH.XPD.CHEX.PC.CD']]]</f>
        <v>#DIV/0!</v>
      </c>
      <c r="G1873" s="2" t="e">
        <f>Table1[[#This Row],[Life expectancy at birth, total (years) '[SP.DYN.LE00.IN']]]/Table1[[#This Row],[Current health expenditure per capita (current US$) '[SH.XPD.CHEX.PC.CD']]]*1000</f>
        <v>#DIV/0!</v>
      </c>
    </row>
    <row r="1874" spans="1:7" x14ac:dyDescent="0.25">
      <c r="A1874" s="5" t="s">
        <v>322</v>
      </c>
      <c r="B1874" s="6" t="s">
        <v>416</v>
      </c>
      <c r="C1874" s="5">
        <v>2015</v>
      </c>
      <c r="D1874" s="7">
        <v>121.43981171</v>
      </c>
      <c r="E1874" s="11">
        <v>73.954999999999998</v>
      </c>
      <c r="F1874" s="10">
        <f>Table1[[#This Row],[Life expectancy at birth, total (years) '[SP.DYN.LE00.IN']]]/Table1[[#This Row],[Current health expenditure per capita (current US$) '[SH.XPD.CHEX.PC.CD']]]</f>
        <v>0.60898480455985549</v>
      </c>
      <c r="G1874" s="4">
        <f>Table1[[#This Row],[Life expectancy at birth, total (years) '[SP.DYN.LE00.IN']]]/Table1[[#This Row],[Current health expenditure per capita (current US$) '[SH.XPD.CHEX.PC.CD']]]*1000</f>
        <v>608.98480455985543</v>
      </c>
    </row>
    <row r="1875" spans="1:7" x14ac:dyDescent="0.25">
      <c r="A1875" s="5" t="s">
        <v>322</v>
      </c>
      <c r="B1875" s="6" t="s">
        <v>416</v>
      </c>
      <c r="C1875" s="5">
        <v>2016</v>
      </c>
      <c r="D1875" s="7">
        <v>133.1960144</v>
      </c>
      <c r="E1875" s="11">
        <v>73.983999999999995</v>
      </c>
      <c r="F1875" s="10">
        <f>Table1[[#This Row],[Life expectancy at birth, total (years) '[SP.DYN.LE00.IN']]]/Table1[[#This Row],[Current health expenditure per capita (current US$) '[SH.XPD.CHEX.PC.CD']]]</f>
        <v>0.55545205562847533</v>
      </c>
      <c r="G1875" s="4">
        <f>Table1[[#This Row],[Life expectancy at birth, total (years) '[SP.DYN.LE00.IN']]]/Table1[[#This Row],[Current health expenditure per capita (current US$) '[SH.XPD.CHEX.PC.CD']]]*1000</f>
        <v>555.45205562847536</v>
      </c>
    </row>
    <row r="1876" spans="1:7" x14ac:dyDescent="0.25">
      <c r="A1876" s="5" t="s">
        <v>322</v>
      </c>
      <c r="B1876" s="6" t="s">
        <v>416</v>
      </c>
      <c r="C1876" s="5">
        <v>2017</v>
      </c>
      <c r="D1876" s="7">
        <v>147.51425171</v>
      </c>
      <c r="E1876" s="11">
        <v>74.025999999999996</v>
      </c>
      <c r="F1876" s="10">
        <f>Table1[[#This Row],[Life expectancy at birth, total (years) '[SP.DYN.LE00.IN']]]/Table1[[#This Row],[Current health expenditure per capita (current US$) '[SH.XPD.CHEX.PC.CD']]]</f>
        <v>0.50182269944688862</v>
      </c>
      <c r="G1876" s="4">
        <f>Table1[[#This Row],[Life expectancy at birth, total (years) '[SP.DYN.LE00.IN']]]/Table1[[#This Row],[Current health expenditure per capita (current US$) '[SH.XPD.CHEX.PC.CD']]]*1000</f>
        <v>501.82269944688863</v>
      </c>
    </row>
    <row r="1877" spans="1:7" x14ac:dyDescent="0.25">
      <c r="A1877" s="5" t="s">
        <v>322</v>
      </c>
      <c r="B1877" s="6" t="s">
        <v>416</v>
      </c>
      <c r="C1877" s="5">
        <v>2018</v>
      </c>
      <c r="D1877" s="7">
        <v>161.97871398999999</v>
      </c>
      <c r="E1877" s="11">
        <v>74.099999999999994</v>
      </c>
      <c r="F1877" s="10">
        <f>Table1[[#This Row],[Life expectancy at birth, total (years) '[SP.DYN.LE00.IN']]]/Table1[[#This Row],[Current health expenditure per capita (current US$) '[SH.XPD.CHEX.PC.CD']]]</f>
        <v>0.45746751640820332</v>
      </c>
      <c r="G1877" s="4">
        <f>Table1[[#This Row],[Life expectancy at birth, total (years) '[SP.DYN.LE00.IN']]]/Table1[[#This Row],[Current health expenditure per capita (current US$) '[SH.XPD.CHEX.PC.CD']]]*1000</f>
        <v>457.46751640820332</v>
      </c>
    </row>
    <row r="1878" spans="1:7" x14ac:dyDescent="0.25">
      <c r="A1878" s="5" t="s">
        <v>322</v>
      </c>
      <c r="B1878" s="6" t="s">
        <v>416</v>
      </c>
      <c r="C1878" s="5">
        <v>2019</v>
      </c>
      <c r="D1878" s="7">
        <v>171.15296935999999</v>
      </c>
      <c r="E1878" s="11">
        <v>74.210999999999999</v>
      </c>
      <c r="F1878" s="10">
        <f>Table1[[#This Row],[Life expectancy at birth, total (years) '[SP.DYN.LE00.IN']]]/Table1[[#This Row],[Current health expenditure per capita (current US$) '[SH.XPD.CHEX.PC.CD']]]</f>
        <v>0.43359458078641894</v>
      </c>
      <c r="G1878" s="4">
        <f>Table1[[#This Row],[Life expectancy at birth, total (years) '[SP.DYN.LE00.IN']]]/Table1[[#This Row],[Current health expenditure per capita (current US$) '[SH.XPD.CHEX.PC.CD']]]*1000</f>
        <v>433.59458078641893</v>
      </c>
    </row>
    <row r="1879" spans="1:7" x14ac:dyDescent="0.25">
      <c r="A1879" s="5" t="s">
        <v>322</v>
      </c>
      <c r="B1879" s="6" t="s">
        <v>416</v>
      </c>
      <c r="C1879" s="5">
        <v>2020</v>
      </c>
      <c r="D1879" s="7">
        <v>153.10160827999999</v>
      </c>
      <c r="E1879" s="11">
        <v>75.382999999999996</v>
      </c>
      <c r="F1879" s="10">
        <f>Table1[[#This Row],[Life expectancy at birth, total (years) '[SP.DYN.LE00.IN']]]/Table1[[#This Row],[Current health expenditure per capita (current US$) '[SH.XPD.CHEX.PC.CD']]]</f>
        <v>0.49237235876801333</v>
      </c>
      <c r="G1879" s="4">
        <f>Table1[[#This Row],[Life expectancy at birth, total (years) '[SP.DYN.LE00.IN']]]/Table1[[#This Row],[Current health expenditure per capita (current US$) '[SH.XPD.CHEX.PC.CD']]]*1000</f>
        <v>492.37235876801333</v>
      </c>
    </row>
    <row r="1880" spans="1:7" x14ac:dyDescent="0.25">
      <c r="A1880" s="5" t="s">
        <v>322</v>
      </c>
      <c r="B1880" s="6" t="s">
        <v>416</v>
      </c>
      <c r="C1880" s="5">
        <v>2021</v>
      </c>
      <c r="D1880" s="7">
        <v>168.09350585999999</v>
      </c>
      <c r="E1880" s="11">
        <v>74.144999999999996</v>
      </c>
      <c r="F1880" s="10">
        <f>Table1[[#This Row],[Life expectancy at birth, total (years) '[SP.DYN.LE00.IN']]]/Table1[[#This Row],[Current health expenditure per capita (current US$) '[SH.XPD.CHEX.PC.CD']]]</f>
        <v>0.44109378063512533</v>
      </c>
      <c r="G1880" s="4">
        <f>Table1[[#This Row],[Life expectancy at birth, total (years) '[SP.DYN.LE00.IN']]]/Table1[[#This Row],[Current health expenditure per capita (current US$) '[SH.XPD.CHEX.PC.CD']]]*1000</f>
        <v>441.09378063512531</v>
      </c>
    </row>
    <row r="1881" spans="1:7" x14ac:dyDescent="0.25">
      <c r="A1881" s="5" t="s">
        <v>322</v>
      </c>
      <c r="B1881" s="6" t="s">
        <v>416</v>
      </c>
      <c r="C1881" s="5">
        <v>2022</v>
      </c>
      <c r="D1881" s="7">
        <v>188.22650146000001</v>
      </c>
      <c r="E1881" s="11">
        <v>74.501999999999995</v>
      </c>
      <c r="F1881" s="10">
        <f>Table1[[#This Row],[Life expectancy at birth, total (years) '[SP.DYN.LE00.IN']]]/Table1[[#This Row],[Current health expenditure per capita (current US$) '[SH.XPD.CHEX.PC.CD']]]</f>
        <v>0.39581036369542472</v>
      </c>
      <c r="G1881" s="4">
        <f>Table1[[#This Row],[Life expectancy at birth, total (years) '[SP.DYN.LE00.IN']]]/Table1[[#This Row],[Current health expenditure per capita (current US$) '[SH.XPD.CHEX.PC.CD']]]*1000</f>
        <v>395.81036369542471</v>
      </c>
    </row>
    <row r="1882" spans="1:7" x14ac:dyDescent="0.25">
      <c r="A1882" s="5" t="s">
        <v>322</v>
      </c>
      <c r="B1882" s="6" t="s">
        <v>416</v>
      </c>
      <c r="C1882" s="5">
        <v>2023</v>
      </c>
      <c r="D1882" s="7">
        <v>197.19210815</v>
      </c>
      <c r="E1882" s="11">
        <v>74.587999999999994</v>
      </c>
      <c r="F1882" s="10">
        <f>Table1[[#This Row],[Life expectancy at birth, total (years) '[SP.DYN.LE00.IN']]]/Table1[[#This Row],[Current health expenditure per capita (current US$) '[SH.XPD.CHEX.PC.CD']]]</f>
        <v>0.37825043151961452</v>
      </c>
      <c r="G1882" s="4">
        <f>Table1[[#This Row],[Life expectancy at birth, total (years) '[SP.DYN.LE00.IN']]]/Table1[[#This Row],[Current health expenditure per capita (current US$) '[SH.XPD.CHEX.PC.CD']]]*1000</f>
        <v>378.25043151961449</v>
      </c>
    </row>
    <row r="1883" spans="1:7" hidden="1" x14ac:dyDescent="0.25">
      <c r="B1883" s="1"/>
      <c r="D1883" s="3"/>
      <c r="E1883"/>
      <c r="F1883" t="e">
        <f>Table1[[#This Row],[Life expectancy at birth, total (years) '[SP.DYN.LE00.IN']]]/Table1[[#This Row],[Current health expenditure per capita (current US$) '[SH.XPD.CHEX.PC.CD']]]</f>
        <v>#DIV/0!</v>
      </c>
      <c r="G1883" s="2" t="e">
        <f>Table1[[#This Row],[Life expectancy at birth, total (years) '[SP.DYN.LE00.IN']]]/Table1[[#This Row],[Current health expenditure per capita (current US$) '[SH.XPD.CHEX.PC.CD']]]*1000</f>
        <v>#DIV/0!</v>
      </c>
    </row>
    <row r="1884" spans="1:7" x14ac:dyDescent="0.25">
      <c r="A1884" s="5" t="s">
        <v>69</v>
      </c>
      <c r="B1884" s="6" t="s">
        <v>47</v>
      </c>
      <c r="C1884" s="5">
        <v>2015</v>
      </c>
      <c r="D1884" s="7">
        <v>88.407432560000004</v>
      </c>
      <c r="E1884" s="11">
        <v>66.760999999999996</v>
      </c>
      <c r="F1884" s="10">
        <f>Table1[[#This Row],[Life expectancy at birth, total (years) '[SP.DYN.LE00.IN']]]/Table1[[#This Row],[Current health expenditure per capita (current US$) '[SH.XPD.CHEX.PC.CD']]]</f>
        <v>0.7551514399503787</v>
      </c>
      <c r="G1884" s="4">
        <f>Table1[[#This Row],[Life expectancy at birth, total (years) '[SP.DYN.LE00.IN']]]/Table1[[#This Row],[Current health expenditure per capita (current US$) '[SH.XPD.CHEX.PC.CD']]]*1000</f>
        <v>755.15143995037874</v>
      </c>
    </row>
    <row r="1885" spans="1:7" x14ac:dyDescent="0.25">
      <c r="A1885" s="5" t="s">
        <v>69</v>
      </c>
      <c r="B1885" s="6" t="s">
        <v>47</v>
      </c>
      <c r="C1885" s="5">
        <v>2016</v>
      </c>
      <c r="D1885" s="7">
        <v>75.224540709999999</v>
      </c>
      <c r="E1885" s="11">
        <v>67.105000000000004</v>
      </c>
      <c r="F1885" s="10">
        <f>Table1[[#This Row],[Life expectancy at birth, total (years) '[SP.DYN.LE00.IN']]]/Table1[[#This Row],[Current health expenditure per capita (current US$) '[SH.XPD.CHEX.PC.CD']]]</f>
        <v>0.89206260838066342</v>
      </c>
      <c r="G1885" s="4">
        <f>Table1[[#This Row],[Life expectancy at birth, total (years) '[SP.DYN.LE00.IN']]]/Table1[[#This Row],[Current health expenditure per capita (current US$) '[SH.XPD.CHEX.PC.CD']]]*1000</f>
        <v>892.06260838066339</v>
      </c>
    </row>
    <row r="1886" spans="1:7" x14ac:dyDescent="0.25">
      <c r="A1886" s="5" t="s">
        <v>69</v>
      </c>
      <c r="B1886" s="6" t="s">
        <v>47</v>
      </c>
      <c r="C1886" s="5">
        <v>2017</v>
      </c>
      <c r="D1886" s="7">
        <v>87.299705509999995</v>
      </c>
      <c r="E1886" s="11">
        <v>67.12</v>
      </c>
      <c r="F1886" s="10">
        <f>Table1[[#This Row],[Life expectancy at birth, total (years) '[SP.DYN.LE00.IN']]]/Table1[[#This Row],[Current health expenditure per capita (current US$) '[SH.XPD.CHEX.PC.CD']]]</f>
        <v>0.76884566342908855</v>
      </c>
      <c r="G1886" s="4">
        <f>Table1[[#This Row],[Life expectancy at birth, total (years) '[SP.DYN.LE00.IN']]]/Table1[[#This Row],[Current health expenditure per capita (current US$) '[SH.XPD.CHEX.PC.CD']]]*1000</f>
        <v>768.84566342908852</v>
      </c>
    </row>
    <row r="1887" spans="1:7" x14ac:dyDescent="0.25">
      <c r="A1887" s="5" t="s">
        <v>69</v>
      </c>
      <c r="B1887" s="6" t="s">
        <v>47</v>
      </c>
      <c r="C1887" s="5">
        <v>2018</v>
      </c>
      <c r="D1887" s="7">
        <v>143.68727111999999</v>
      </c>
      <c r="E1887" s="11">
        <v>65.915000000000006</v>
      </c>
      <c r="F1887" s="10">
        <f>Table1[[#This Row],[Life expectancy at birth, total (years) '[SP.DYN.LE00.IN']]]/Table1[[#This Row],[Current health expenditure per capita (current US$) '[SH.XPD.CHEX.PC.CD']]]</f>
        <v>0.45873931271860047</v>
      </c>
      <c r="G1887" s="4">
        <f>Table1[[#This Row],[Life expectancy at birth, total (years) '[SP.DYN.LE00.IN']]]/Table1[[#This Row],[Current health expenditure per capita (current US$) '[SH.XPD.CHEX.PC.CD']]]*1000</f>
        <v>458.73931271860044</v>
      </c>
    </row>
    <row r="1888" spans="1:7" x14ac:dyDescent="0.25">
      <c r="A1888" s="5" t="s">
        <v>69</v>
      </c>
      <c r="B1888" s="6" t="s">
        <v>47</v>
      </c>
      <c r="C1888" s="5">
        <v>2019</v>
      </c>
      <c r="D1888" s="7">
        <v>80.947593690000005</v>
      </c>
      <c r="E1888" s="11">
        <v>66.566999999999993</v>
      </c>
      <c r="F1888" s="10">
        <f>Table1[[#This Row],[Life expectancy at birth, total (years) '[SP.DYN.LE00.IN']]]/Table1[[#This Row],[Current health expenditure per capita (current US$) '[SH.XPD.CHEX.PC.CD']]]</f>
        <v>0.82234686623208986</v>
      </c>
      <c r="G1888" s="4">
        <f>Table1[[#This Row],[Life expectancy at birth, total (years) '[SP.DYN.LE00.IN']]]/Table1[[#This Row],[Current health expenditure per capita (current US$) '[SH.XPD.CHEX.PC.CD']]]*1000</f>
        <v>822.34686623208984</v>
      </c>
    </row>
    <row r="1889" spans="1:7" x14ac:dyDescent="0.25">
      <c r="A1889" s="5" t="s">
        <v>69</v>
      </c>
      <c r="B1889" s="6" t="s">
        <v>47</v>
      </c>
      <c r="C1889" s="5">
        <v>2020</v>
      </c>
      <c r="D1889" s="7">
        <v>65.177047729999998</v>
      </c>
      <c r="E1889" s="11">
        <v>66.435000000000002</v>
      </c>
      <c r="F1889" s="10">
        <f>Table1[[#This Row],[Life expectancy at birth, total (years) '[SP.DYN.LE00.IN']]]/Table1[[#This Row],[Current health expenditure per capita (current US$) '[SH.XPD.CHEX.PC.CD']]]</f>
        <v>1.0193005408163185</v>
      </c>
      <c r="G1889" s="4">
        <f>Table1[[#This Row],[Life expectancy at birth, total (years) '[SP.DYN.LE00.IN']]]/Table1[[#This Row],[Current health expenditure per capita (current US$) '[SH.XPD.CHEX.PC.CD']]]*1000</f>
        <v>1019.3005408163185</v>
      </c>
    </row>
    <row r="1890" spans="1:7" x14ac:dyDescent="0.25">
      <c r="A1890" s="5" t="s">
        <v>69</v>
      </c>
      <c r="B1890" s="6" t="s">
        <v>47</v>
      </c>
      <c r="C1890" s="5">
        <v>2021</v>
      </c>
      <c r="D1890" s="7">
        <v>49.301052089999999</v>
      </c>
      <c r="E1890" s="11">
        <v>66.019000000000005</v>
      </c>
      <c r="F1890" s="10">
        <f>Table1[[#This Row],[Life expectancy at birth, total (years) '[SP.DYN.LE00.IN']]]/Table1[[#This Row],[Current health expenditure per capita (current US$) '[SH.XPD.CHEX.PC.CD']]]</f>
        <v>1.339099211908928</v>
      </c>
      <c r="G1890" s="4">
        <f>Table1[[#This Row],[Life expectancy at birth, total (years) '[SP.DYN.LE00.IN']]]/Table1[[#This Row],[Current health expenditure per capita (current US$) '[SH.XPD.CHEX.PC.CD']]]*1000</f>
        <v>1339.0992119089281</v>
      </c>
    </row>
    <row r="1891" spans="1:7" x14ac:dyDescent="0.25">
      <c r="A1891" s="5" t="s">
        <v>69</v>
      </c>
      <c r="B1891" s="6" t="s">
        <v>47</v>
      </c>
      <c r="C1891" s="5">
        <v>2022</v>
      </c>
      <c r="D1891" s="7">
        <v>54.290363309999996</v>
      </c>
      <c r="E1891" s="11">
        <v>67.951999999999998</v>
      </c>
      <c r="F1891" s="10">
        <f>Table1[[#This Row],[Life expectancy at birth, total (years) '[SP.DYN.LE00.IN']]]/Table1[[#This Row],[Current health expenditure per capita (current US$) '[SH.XPD.CHEX.PC.CD']]]</f>
        <v>1.2516401780550177</v>
      </c>
      <c r="G1891" s="4">
        <f>Table1[[#This Row],[Life expectancy at birth, total (years) '[SP.DYN.LE00.IN']]]/Table1[[#This Row],[Current health expenditure per capita (current US$) '[SH.XPD.CHEX.PC.CD']]]*1000</f>
        <v>1251.6401780550177</v>
      </c>
    </row>
    <row r="1892" spans="1:7" x14ac:dyDescent="0.25">
      <c r="A1892" s="5" t="s">
        <v>69</v>
      </c>
      <c r="B1892" s="6" t="s">
        <v>47</v>
      </c>
      <c r="C1892" s="5">
        <v>2023</v>
      </c>
      <c r="D1892" s="7">
        <v>47.781097410000001</v>
      </c>
      <c r="E1892" s="11">
        <v>69.295000000000002</v>
      </c>
      <c r="F1892" s="10">
        <f>Table1[[#This Row],[Life expectancy at birth, total (years) '[SP.DYN.LE00.IN']]]/Table1[[#This Row],[Current health expenditure per capita (current US$) '[SH.XPD.CHEX.PC.CD']]]</f>
        <v>1.4502597000942343</v>
      </c>
      <c r="G1892" s="4">
        <f>Table1[[#This Row],[Life expectancy at birth, total (years) '[SP.DYN.LE00.IN']]]/Table1[[#This Row],[Current health expenditure per capita (current US$) '[SH.XPD.CHEX.PC.CD']]]*1000</f>
        <v>1450.2597000942344</v>
      </c>
    </row>
    <row r="1893" spans="1:7" hidden="1" x14ac:dyDescent="0.25">
      <c r="B1893" s="1"/>
      <c r="D1893" s="3"/>
      <c r="E1893"/>
      <c r="F1893" t="e">
        <f>Table1[[#This Row],[Life expectancy at birth, total (years) '[SP.DYN.LE00.IN']]]/Table1[[#This Row],[Current health expenditure per capita (current US$) '[SH.XPD.CHEX.PC.CD']]]</f>
        <v>#DIV/0!</v>
      </c>
      <c r="G1893" s="2" t="e">
        <f>Table1[[#This Row],[Life expectancy at birth, total (years) '[SP.DYN.LE00.IN']]]/Table1[[#This Row],[Current health expenditure per capita (current US$) '[SH.XPD.CHEX.PC.CD']]]*1000</f>
        <v>#DIV/0!</v>
      </c>
    </row>
    <row r="1894" spans="1:7" x14ac:dyDescent="0.25">
      <c r="A1894" s="5" t="s">
        <v>269</v>
      </c>
      <c r="B1894" s="6" t="s">
        <v>381</v>
      </c>
      <c r="C1894" s="5">
        <v>2015</v>
      </c>
      <c r="D1894" s="7">
        <v>57.387653350000001</v>
      </c>
      <c r="E1894" s="11">
        <v>60.728000000000002</v>
      </c>
      <c r="F1894" s="10">
        <f>Table1[[#This Row],[Life expectancy at birth, total (years) '[SP.DYN.LE00.IN']]]/Table1[[#This Row],[Current health expenditure per capita (current US$) '[SH.XPD.CHEX.PC.CD']]]</f>
        <v>1.0582067126813437</v>
      </c>
      <c r="G1894" s="4">
        <f>Table1[[#This Row],[Life expectancy at birth, total (years) '[SP.DYN.LE00.IN']]]/Table1[[#This Row],[Current health expenditure per capita (current US$) '[SH.XPD.CHEX.PC.CD']]]*1000</f>
        <v>1058.2067126813438</v>
      </c>
    </row>
    <row r="1895" spans="1:7" x14ac:dyDescent="0.25">
      <c r="A1895" s="5" t="s">
        <v>269</v>
      </c>
      <c r="B1895" s="6" t="s">
        <v>381</v>
      </c>
      <c r="C1895" s="5">
        <v>2016</v>
      </c>
      <c r="D1895" s="7">
        <v>55.395320890000001</v>
      </c>
      <c r="E1895" s="11">
        <v>61.128999999999998</v>
      </c>
      <c r="F1895" s="10">
        <f>Table1[[#This Row],[Life expectancy at birth, total (years) '[SP.DYN.LE00.IN']]]/Table1[[#This Row],[Current health expenditure per capita (current US$) '[SH.XPD.CHEX.PC.CD']]]</f>
        <v>1.1035047548760575</v>
      </c>
      <c r="G1895" s="4">
        <f>Table1[[#This Row],[Life expectancy at birth, total (years) '[SP.DYN.LE00.IN']]]/Table1[[#This Row],[Current health expenditure per capita (current US$) '[SH.XPD.CHEX.PC.CD']]]*1000</f>
        <v>1103.5047548760574</v>
      </c>
    </row>
    <row r="1896" spans="1:7" x14ac:dyDescent="0.25">
      <c r="A1896" s="5" t="s">
        <v>269</v>
      </c>
      <c r="B1896" s="6" t="s">
        <v>381</v>
      </c>
      <c r="C1896" s="5">
        <v>2017</v>
      </c>
      <c r="D1896" s="7">
        <v>70.932838439999998</v>
      </c>
      <c r="E1896" s="11">
        <v>61.564</v>
      </c>
      <c r="F1896" s="10">
        <f>Table1[[#This Row],[Life expectancy at birth, total (years) '[SP.DYN.LE00.IN']]]/Table1[[#This Row],[Current health expenditure per capita (current US$) '[SH.XPD.CHEX.PC.CD']]]</f>
        <v>0.867919589205149</v>
      </c>
      <c r="G1896" s="4">
        <f>Table1[[#This Row],[Life expectancy at birth, total (years) '[SP.DYN.LE00.IN']]]/Table1[[#This Row],[Current health expenditure per capita (current US$) '[SH.XPD.CHEX.PC.CD']]]*1000</f>
        <v>867.91958920514901</v>
      </c>
    </row>
    <row r="1897" spans="1:7" x14ac:dyDescent="0.25">
      <c r="A1897" s="5" t="s">
        <v>269</v>
      </c>
      <c r="B1897" s="6" t="s">
        <v>381</v>
      </c>
      <c r="C1897" s="5">
        <v>2018</v>
      </c>
      <c r="D1897" s="7">
        <v>69.827674869999996</v>
      </c>
      <c r="E1897" s="11">
        <v>62.137999999999998</v>
      </c>
      <c r="F1897" s="10">
        <f>Table1[[#This Row],[Life expectancy at birth, total (years) '[SP.DYN.LE00.IN']]]/Table1[[#This Row],[Current health expenditure per capita (current US$) '[SH.XPD.CHEX.PC.CD']]]</f>
        <v>0.88987640094967979</v>
      </c>
      <c r="G1897" s="4">
        <f>Table1[[#This Row],[Life expectancy at birth, total (years) '[SP.DYN.LE00.IN']]]/Table1[[#This Row],[Current health expenditure per capita (current US$) '[SH.XPD.CHEX.PC.CD']]]*1000</f>
        <v>889.87640094967981</v>
      </c>
    </row>
    <row r="1898" spans="1:7" x14ac:dyDescent="0.25">
      <c r="A1898" s="5" t="s">
        <v>269</v>
      </c>
      <c r="B1898" s="6" t="s">
        <v>381</v>
      </c>
      <c r="C1898" s="5">
        <v>2019</v>
      </c>
      <c r="D1898" s="7">
        <v>85.023498540000006</v>
      </c>
      <c r="E1898" s="11">
        <v>62.914000000000001</v>
      </c>
      <c r="F1898" s="10">
        <f>Table1[[#This Row],[Life expectancy at birth, total (years) '[SP.DYN.LE00.IN']]]/Table1[[#This Row],[Current health expenditure per capita (current US$) '[SH.XPD.CHEX.PC.CD']]]</f>
        <v>0.73996014137669941</v>
      </c>
      <c r="G1898" s="4">
        <f>Table1[[#This Row],[Life expectancy at birth, total (years) '[SP.DYN.LE00.IN']]]/Table1[[#This Row],[Current health expenditure per capita (current US$) '[SH.XPD.CHEX.PC.CD']]]*1000</f>
        <v>739.96014137669943</v>
      </c>
    </row>
    <row r="1899" spans="1:7" x14ac:dyDescent="0.25">
      <c r="A1899" s="5" t="s">
        <v>269</v>
      </c>
      <c r="B1899" s="6" t="s">
        <v>381</v>
      </c>
      <c r="C1899" s="5">
        <v>2020</v>
      </c>
      <c r="D1899" s="7">
        <v>60.01779938</v>
      </c>
      <c r="E1899" s="11">
        <v>63.360999999999997</v>
      </c>
      <c r="F1899" s="10">
        <f>Table1[[#This Row],[Life expectancy at birth, total (years) '[SP.DYN.LE00.IN']]]/Table1[[#This Row],[Current health expenditure per capita (current US$) '[SH.XPD.CHEX.PC.CD']]]</f>
        <v>1.0557034855415586</v>
      </c>
      <c r="G1899" s="4">
        <f>Table1[[#This Row],[Life expectancy at birth, total (years) '[SP.DYN.LE00.IN']]]/Table1[[#This Row],[Current health expenditure per capita (current US$) '[SH.XPD.CHEX.PC.CD']]]*1000</f>
        <v>1055.7034855415586</v>
      </c>
    </row>
    <row r="1900" spans="1:7" x14ac:dyDescent="0.25">
      <c r="A1900" s="5" t="s">
        <v>269</v>
      </c>
      <c r="B1900" s="6" t="s">
        <v>381</v>
      </c>
      <c r="C1900" s="5">
        <v>2021</v>
      </c>
      <c r="D1900" s="7">
        <v>74.838027949999997</v>
      </c>
      <c r="E1900" s="11">
        <v>62.363</v>
      </c>
      <c r="F1900" s="10">
        <f>Table1[[#This Row],[Life expectancy at birth, total (years) '[SP.DYN.LE00.IN']]]/Table1[[#This Row],[Current health expenditure per capita (current US$) '[SH.XPD.CHEX.PC.CD']]]</f>
        <v>0.83330629772427078</v>
      </c>
      <c r="G1900" s="4">
        <f>Table1[[#This Row],[Life expectancy at birth, total (years) '[SP.DYN.LE00.IN']]]/Table1[[#This Row],[Current health expenditure per capita (current US$) '[SH.XPD.CHEX.PC.CD']]]*1000</f>
        <v>833.30629772427073</v>
      </c>
    </row>
    <row r="1901" spans="1:7" x14ac:dyDescent="0.25">
      <c r="A1901" s="5" t="s">
        <v>269</v>
      </c>
      <c r="B1901" s="6" t="s">
        <v>381</v>
      </c>
      <c r="C1901" s="5">
        <v>2022</v>
      </c>
      <c r="D1901" s="7">
        <v>75.40128326</v>
      </c>
      <c r="E1901" s="11">
        <v>65.278999999999996</v>
      </c>
      <c r="F1901" s="10">
        <f>Table1[[#This Row],[Life expectancy at birth, total (years) '[SP.DYN.LE00.IN']]]/Table1[[#This Row],[Current health expenditure per capita (current US$) '[SH.XPD.CHEX.PC.CD']]]</f>
        <v>0.86575449617884925</v>
      </c>
      <c r="G1901" s="4">
        <f>Table1[[#This Row],[Life expectancy at birth, total (years) '[SP.DYN.LE00.IN']]]/Table1[[#This Row],[Current health expenditure per capita (current US$) '[SH.XPD.CHEX.PC.CD']]]*1000</f>
        <v>865.75449617884931</v>
      </c>
    </row>
    <row r="1902" spans="1:7" x14ac:dyDescent="0.25">
      <c r="A1902" s="5" t="s">
        <v>269</v>
      </c>
      <c r="B1902" s="6" t="s">
        <v>381</v>
      </c>
      <c r="C1902" s="5">
        <v>2023</v>
      </c>
      <c r="D1902" s="7">
        <v>79.556350710000004</v>
      </c>
      <c r="E1902" s="11">
        <v>66.349000000000004</v>
      </c>
      <c r="F1902" s="10">
        <f>Table1[[#This Row],[Life expectancy at birth, total (years) '[SP.DYN.LE00.IN']]]/Table1[[#This Row],[Current health expenditure per capita (current US$) '[SH.XPD.CHEX.PC.CD']]]</f>
        <v>0.83398747438600307</v>
      </c>
      <c r="G1902" s="4">
        <f>Table1[[#This Row],[Life expectancy at birth, total (years) '[SP.DYN.LE00.IN']]]/Table1[[#This Row],[Current health expenditure per capita (current US$) '[SH.XPD.CHEX.PC.CD']]]*1000</f>
        <v>833.9874743860031</v>
      </c>
    </row>
    <row r="1903" spans="1:7" hidden="1" x14ac:dyDescent="0.25">
      <c r="B1903" s="1"/>
      <c r="D1903" s="3"/>
      <c r="E1903"/>
      <c r="F1903" t="e">
        <f>Table1[[#This Row],[Life expectancy at birth, total (years) '[SP.DYN.LE00.IN']]]/Table1[[#This Row],[Current health expenditure per capita (current US$) '[SH.XPD.CHEX.PC.CD']]]</f>
        <v>#DIV/0!</v>
      </c>
      <c r="G1903" s="2" t="e">
        <f>Table1[[#This Row],[Life expectancy at birth, total (years) '[SP.DYN.LE00.IN']]]/Table1[[#This Row],[Current health expenditure per capita (current US$) '[SH.XPD.CHEX.PC.CD']]]*1000</f>
        <v>#DIV/0!</v>
      </c>
    </row>
    <row r="1904" spans="1:7" x14ac:dyDescent="0.25">
      <c r="A1904" s="5" t="s">
        <v>33</v>
      </c>
      <c r="B1904" s="6" t="s">
        <v>208</v>
      </c>
      <c r="C1904" s="5">
        <v>2015</v>
      </c>
      <c r="D1904" s="7">
        <v>103.31652832</v>
      </c>
      <c r="E1904" s="11">
        <v>58.988999999999997</v>
      </c>
      <c r="F1904" s="10">
        <f>Table1[[#This Row],[Life expectancy at birth, total (years) '[SP.DYN.LE00.IN']]]/Table1[[#This Row],[Current health expenditure per capita (current US$) '[SH.XPD.CHEX.PC.CD']]]</f>
        <v>0.5709541441161734</v>
      </c>
      <c r="G1904" s="4">
        <f>Table1[[#This Row],[Life expectancy at birth, total (years) '[SP.DYN.LE00.IN']]]/Table1[[#This Row],[Current health expenditure per capita (current US$) '[SH.XPD.CHEX.PC.CD']]]*1000</f>
        <v>570.95414411617344</v>
      </c>
    </row>
    <row r="1905" spans="1:7" x14ac:dyDescent="0.25">
      <c r="A1905" s="5" t="s">
        <v>33</v>
      </c>
      <c r="B1905" s="6" t="s">
        <v>208</v>
      </c>
      <c r="C1905" s="5">
        <v>2016</v>
      </c>
      <c r="D1905" s="7">
        <v>102.15909576</v>
      </c>
      <c r="E1905" s="11">
        <v>59.76</v>
      </c>
      <c r="F1905" s="10">
        <f>Table1[[#This Row],[Life expectancy at birth, total (years) '[SP.DYN.LE00.IN']]]/Table1[[#This Row],[Current health expenditure per capita (current US$) '[SH.XPD.CHEX.PC.CD']]]</f>
        <v>0.58496993885295134</v>
      </c>
      <c r="G1905" s="4">
        <f>Table1[[#This Row],[Life expectancy at birth, total (years) '[SP.DYN.LE00.IN']]]/Table1[[#This Row],[Current health expenditure per capita (current US$) '[SH.XPD.CHEX.PC.CD']]]*1000</f>
        <v>584.96993885295137</v>
      </c>
    </row>
    <row r="1906" spans="1:7" x14ac:dyDescent="0.25">
      <c r="A1906" s="5" t="s">
        <v>33</v>
      </c>
      <c r="B1906" s="6" t="s">
        <v>208</v>
      </c>
      <c r="C1906" s="5">
        <v>2017</v>
      </c>
      <c r="D1906" s="7">
        <v>91.871994020000002</v>
      </c>
      <c r="E1906" s="11">
        <v>60.262999999999998</v>
      </c>
      <c r="F1906" s="10">
        <f>Table1[[#This Row],[Life expectancy at birth, total (years) '[SP.DYN.LE00.IN']]]/Table1[[#This Row],[Current health expenditure per capita (current US$) '[SH.XPD.CHEX.PC.CD']]]</f>
        <v>0.6559452708393495</v>
      </c>
      <c r="G1906" s="4">
        <f>Table1[[#This Row],[Life expectancy at birth, total (years) '[SP.DYN.LE00.IN']]]/Table1[[#This Row],[Current health expenditure per capita (current US$) '[SH.XPD.CHEX.PC.CD']]]*1000</f>
        <v>655.94527083934952</v>
      </c>
    </row>
    <row r="1907" spans="1:7" x14ac:dyDescent="0.25">
      <c r="A1907" s="5" t="s">
        <v>33</v>
      </c>
      <c r="B1907" s="6" t="s">
        <v>208</v>
      </c>
      <c r="C1907" s="5">
        <v>2018</v>
      </c>
      <c r="D1907" s="7">
        <v>114.76815033</v>
      </c>
      <c r="E1907" s="11">
        <v>60.905999999999999</v>
      </c>
      <c r="F1907" s="10">
        <f>Table1[[#This Row],[Life expectancy at birth, total (years) '[SP.DYN.LE00.IN']]]/Table1[[#This Row],[Current health expenditure per capita (current US$) '[SH.XPD.CHEX.PC.CD']]]</f>
        <v>0.5306873015281085</v>
      </c>
      <c r="G1907" s="4">
        <f>Table1[[#This Row],[Life expectancy at birth, total (years) '[SP.DYN.LE00.IN']]]/Table1[[#This Row],[Current health expenditure per capita (current US$) '[SH.XPD.CHEX.PC.CD']]]*1000</f>
        <v>530.68730152810849</v>
      </c>
    </row>
    <row r="1908" spans="1:7" x14ac:dyDescent="0.25">
      <c r="A1908" s="5" t="s">
        <v>33</v>
      </c>
      <c r="B1908" s="6" t="s">
        <v>208</v>
      </c>
      <c r="C1908" s="5">
        <v>2019</v>
      </c>
      <c r="D1908" s="7">
        <v>55.10725403</v>
      </c>
      <c r="E1908" s="11">
        <v>61.06</v>
      </c>
      <c r="F1908" s="10">
        <f>Table1[[#This Row],[Life expectancy at birth, total (years) '[SP.DYN.LE00.IN']]]/Table1[[#This Row],[Current health expenditure per capita (current US$) '[SH.XPD.CHEX.PC.CD']]]</f>
        <v>1.1080210958571692</v>
      </c>
      <c r="G1908" s="4">
        <f>Table1[[#This Row],[Life expectancy at birth, total (years) '[SP.DYN.LE00.IN']]]/Table1[[#This Row],[Current health expenditure per capita (current US$) '[SH.XPD.CHEX.PC.CD']]]*1000</f>
        <v>1108.0210958571693</v>
      </c>
    </row>
    <row r="1909" spans="1:7" x14ac:dyDescent="0.25">
      <c r="A1909" s="5" t="s">
        <v>33</v>
      </c>
      <c r="B1909" s="6" t="s">
        <v>208</v>
      </c>
      <c r="C1909" s="5">
        <v>2020</v>
      </c>
      <c r="D1909" s="7">
        <v>51.142505649999997</v>
      </c>
      <c r="E1909" s="11">
        <v>61.53</v>
      </c>
      <c r="F1909" s="10">
        <f>Table1[[#This Row],[Life expectancy at birth, total (years) '[SP.DYN.LE00.IN']]]/Table1[[#This Row],[Current health expenditure per capita (current US$) '[SH.XPD.CHEX.PC.CD']]]</f>
        <v>1.2031088273438946</v>
      </c>
      <c r="G1909" s="4">
        <f>Table1[[#This Row],[Life expectancy at birth, total (years) '[SP.DYN.LE00.IN']]]/Table1[[#This Row],[Current health expenditure per capita (current US$) '[SH.XPD.CHEX.PC.CD']]]*1000</f>
        <v>1203.1088273438945</v>
      </c>
    </row>
    <row r="1910" spans="1:7" x14ac:dyDescent="0.25">
      <c r="A1910" s="5" t="s">
        <v>33</v>
      </c>
      <c r="B1910" s="6" t="s">
        <v>208</v>
      </c>
      <c r="C1910" s="5">
        <v>2021</v>
      </c>
      <c r="D1910" s="7">
        <v>60.898742679999998</v>
      </c>
      <c r="E1910" s="11">
        <v>60.134999999999998</v>
      </c>
      <c r="F1910" s="10">
        <f>Table1[[#This Row],[Life expectancy at birth, total (years) '[SP.DYN.LE00.IN']]]/Table1[[#This Row],[Current health expenditure per capita (current US$) '[SH.XPD.CHEX.PC.CD']]]</f>
        <v>0.98745881037293037</v>
      </c>
      <c r="G1910" s="4">
        <f>Table1[[#This Row],[Life expectancy at birth, total (years) '[SP.DYN.LE00.IN']]]/Table1[[#This Row],[Current health expenditure per capita (current US$) '[SH.XPD.CHEX.PC.CD']]]*1000</f>
        <v>987.45881037293043</v>
      </c>
    </row>
    <row r="1911" spans="1:7" x14ac:dyDescent="0.25">
      <c r="A1911" s="5" t="s">
        <v>33</v>
      </c>
      <c r="B1911" s="6" t="s">
        <v>208</v>
      </c>
      <c r="C1911" s="5">
        <v>2022</v>
      </c>
      <c r="D1911" s="7">
        <v>68.907279970000005</v>
      </c>
      <c r="E1911" s="11">
        <v>62.36</v>
      </c>
      <c r="F1911" s="10">
        <f>Table1[[#This Row],[Life expectancy at birth, total (years) '[SP.DYN.LE00.IN']]]/Table1[[#This Row],[Current health expenditure per capita (current US$) '[SH.XPD.CHEX.PC.CD']]]</f>
        <v>0.90498420525595435</v>
      </c>
      <c r="G1911" s="4">
        <f>Table1[[#This Row],[Life expectancy at birth, total (years) '[SP.DYN.LE00.IN']]]/Table1[[#This Row],[Current health expenditure per capita (current US$) '[SH.XPD.CHEX.PC.CD']]]*1000</f>
        <v>904.98420525595441</v>
      </c>
    </row>
    <row r="1912" spans="1:7" x14ac:dyDescent="0.25">
      <c r="A1912" s="5" t="s">
        <v>33</v>
      </c>
      <c r="B1912" s="6" t="s">
        <v>208</v>
      </c>
      <c r="C1912" s="5">
        <v>2023</v>
      </c>
      <c r="D1912" s="7">
        <v>62.929462430000001</v>
      </c>
      <c r="E1912" s="11">
        <v>62.774999999999999</v>
      </c>
      <c r="F1912" s="10">
        <f>Table1[[#This Row],[Life expectancy at birth, total (years) '[SP.DYN.LE00.IN']]]/Table1[[#This Row],[Current health expenditure per capita (current US$) '[SH.XPD.CHEX.PC.CD']]]</f>
        <v>0.99754546719397419</v>
      </c>
      <c r="G1912" s="4">
        <f>Table1[[#This Row],[Life expectancy at birth, total (years) '[SP.DYN.LE00.IN']]]/Table1[[#This Row],[Current health expenditure per capita (current US$) '[SH.XPD.CHEX.PC.CD']]]*1000</f>
        <v>997.54546719397422</v>
      </c>
    </row>
    <row r="1913" spans="1:7" hidden="1" x14ac:dyDescent="0.25">
      <c r="B1913" s="1"/>
      <c r="D1913" s="3"/>
      <c r="E1913"/>
      <c r="F1913" t="e">
        <f>Table1[[#This Row],[Life expectancy at birth, total (years) '[SP.DYN.LE00.IN']]]/Table1[[#This Row],[Current health expenditure per capita (current US$) '[SH.XPD.CHEX.PC.CD']]]</f>
        <v>#DIV/0!</v>
      </c>
      <c r="G1913" s="2" t="e">
        <f>Table1[[#This Row],[Life expectancy at birth, total (years) '[SP.DYN.LE00.IN']]]/Table1[[#This Row],[Current health expenditure per capita (current US$) '[SH.XPD.CHEX.PC.CD']]]*1000</f>
        <v>#DIV/0!</v>
      </c>
    </row>
    <row r="1048576" spans="4:6" x14ac:dyDescent="0.25">
      <c r="D1048576" s="2">
        <f>SUBTOTAL(9,D2:D1048575)</f>
        <v>2142127.8898497922</v>
      </c>
      <c r="E1048576" s="4">
        <f>SUBTOTAL(9,E2:E1048575)</f>
        <v>123671.84246341439</v>
      </c>
      <c r="F1048576" s="9">
        <f>SUBTOTAL(9,F2:F1048575)</f>
        <v>874.26041003630837</v>
      </c>
    </row>
  </sheetData>
  <phoneticPr fontId="2" type="noConversion"/>
  <conditionalFormatting sqref="D1:D1048576">
    <cfRule type="dataBar" priority="3">
      <dataBar>
        <cfvo type="min"/>
        <cfvo type="max"/>
        <color rgb="FFD6007B"/>
      </dataBar>
      <extLst>
        <ext xmlns:x14="http://schemas.microsoft.com/office/spreadsheetml/2009/9/main" uri="{B025F937-C7B1-47D3-B67F-A62EFF666E3E}">
          <x14:id>{FFF925B8-82FA-4A01-BC67-066562C4A8F6}</x14:id>
        </ext>
      </extLst>
    </cfRule>
  </conditionalFormatting>
  <conditionalFormatting sqref="E1:E1048576">
    <cfRule type="dataBar" priority="2">
      <dataBar>
        <cfvo type="min"/>
        <cfvo type="max"/>
        <color rgb="FF63C384"/>
      </dataBar>
      <extLst>
        <ext xmlns:x14="http://schemas.microsoft.com/office/spreadsheetml/2009/9/main" uri="{B025F937-C7B1-47D3-B67F-A62EFF666E3E}">
          <x14:id>{EDFAC039-EF31-4A11-8793-EDD037CF5A1E}</x14:id>
        </ext>
      </extLst>
    </cfRule>
  </conditionalFormatting>
  <conditionalFormatting sqref="F1:F1048576">
    <cfRule type="dataBar" priority="1">
      <dataBar>
        <cfvo type="min"/>
        <cfvo type="max"/>
        <color rgb="FF638EC6"/>
      </dataBar>
      <extLst>
        <ext xmlns:x14="http://schemas.microsoft.com/office/spreadsheetml/2009/9/main" uri="{B025F937-C7B1-47D3-B67F-A62EFF666E3E}">
          <x14:id>{F011B27F-4B8E-4C58-AFEE-61D53E93D092}</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FF925B8-82FA-4A01-BC67-066562C4A8F6}">
            <x14:dataBar minLength="0" maxLength="100" gradient="0">
              <x14:cfvo type="autoMin"/>
              <x14:cfvo type="autoMax"/>
              <x14:negativeFillColor rgb="FFFF0000"/>
              <x14:axisColor rgb="FF000000"/>
            </x14:dataBar>
          </x14:cfRule>
          <xm:sqref>D1:D1048576</xm:sqref>
        </x14:conditionalFormatting>
        <x14:conditionalFormatting xmlns:xm="http://schemas.microsoft.com/office/excel/2006/main">
          <x14:cfRule type="dataBar" id="{EDFAC039-EF31-4A11-8793-EDD037CF5A1E}">
            <x14:dataBar minLength="0" maxLength="100" gradient="0">
              <x14:cfvo type="autoMin"/>
              <x14:cfvo type="autoMax"/>
              <x14:negativeFillColor rgb="FFFF0000"/>
              <x14:axisColor rgb="FF000000"/>
            </x14:dataBar>
          </x14:cfRule>
          <xm:sqref>E1:E1048576</xm:sqref>
        </x14:conditionalFormatting>
        <x14:conditionalFormatting xmlns:xm="http://schemas.microsoft.com/office/excel/2006/main">
          <x14:cfRule type="dataBar" id="{F011B27F-4B8E-4C58-AFEE-61D53E93D092}">
            <x14:dataBar minLength="0" maxLength="100" gradient="0">
              <x14:cfvo type="autoMin"/>
              <x14:cfvo type="autoMax"/>
              <x14:negativeFillColor rgb="FFFF0000"/>
              <x14:axisColor rgb="FF000000"/>
            </x14:dataBar>
          </x14:cfRule>
          <xm:sqref>F1:F1048576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AB8C-0378-4F81-B131-37BA8B19D051}">
  <dimension ref="A1:N537"/>
  <sheetViews>
    <sheetView workbookViewId="0">
      <selection activeCell="D536" sqref="D536"/>
    </sheetView>
  </sheetViews>
  <sheetFormatPr defaultRowHeight="15" x14ac:dyDescent="0.25"/>
  <sheetData>
    <row r="1" spans="1:14" x14ac:dyDescent="0.25">
      <c r="A1" t="s">
        <v>285</v>
      </c>
      <c r="B1" s="1" t="s">
        <v>397</v>
      </c>
      <c r="C1" t="s">
        <v>420</v>
      </c>
      <c r="D1" s="1" t="s">
        <v>421</v>
      </c>
      <c r="E1" t="s">
        <v>422</v>
      </c>
      <c r="F1" t="s">
        <v>423</v>
      </c>
      <c r="G1" t="s">
        <v>424</v>
      </c>
      <c r="H1" t="s">
        <v>425</v>
      </c>
      <c r="I1" t="s">
        <v>426</v>
      </c>
      <c r="J1" t="s">
        <v>427</v>
      </c>
      <c r="K1" t="s">
        <v>428</v>
      </c>
      <c r="L1" t="s">
        <v>429</v>
      </c>
      <c r="M1" t="s">
        <v>430</v>
      </c>
      <c r="N1" t="s">
        <v>431</v>
      </c>
    </row>
    <row r="2" spans="1:14" x14ac:dyDescent="0.25">
      <c r="A2" t="s">
        <v>319</v>
      </c>
      <c r="B2" s="1" t="s">
        <v>239</v>
      </c>
      <c r="C2" t="s">
        <v>299</v>
      </c>
      <c r="D2" s="1" t="s">
        <v>87</v>
      </c>
      <c r="E2">
        <v>59.919605259999997</v>
      </c>
      <c r="F2">
        <v>61.37234497</v>
      </c>
      <c r="G2">
        <v>66.82388306</v>
      </c>
      <c r="H2">
        <v>71.225090030000004</v>
      </c>
      <c r="I2">
        <v>74.064239499999999</v>
      </c>
      <c r="J2">
        <v>80.089233399999998</v>
      </c>
      <c r="K2">
        <v>81.521125789999999</v>
      </c>
      <c r="L2">
        <v>80.651603699999995</v>
      </c>
      <c r="M2">
        <v>59.067707059999996</v>
      </c>
      <c r="N2" t="s">
        <v>432</v>
      </c>
    </row>
    <row r="3" spans="1:14" x14ac:dyDescent="0.25">
      <c r="A3" t="s">
        <v>319</v>
      </c>
      <c r="B3" s="1" t="s">
        <v>239</v>
      </c>
      <c r="C3" t="s">
        <v>289</v>
      </c>
      <c r="D3" s="1" t="s">
        <v>185</v>
      </c>
      <c r="E3">
        <v>62.27</v>
      </c>
      <c r="F3">
        <v>62.646000000000001</v>
      </c>
      <c r="G3">
        <v>62.405999999999999</v>
      </c>
      <c r="H3">
        <v>62.442999999999998</v>
      </c>
      <c r="I3">
        <v>62.941000000000003</v>
      </c>
      <c r="J3">
        <v>61.454000000000001</v>
      </c>
      <c r="K3">
        <v>60.417000000000002</v>
      </c>
      <c r="L3">
        <v>65.617000000000004</v>
      </c>
      <c r="M3">
        <v>66.034999999999997</v>
      </c>
      <c r="N3" t="s">
        <v>432</v>
      </c>
    </row>
    <row r="4" spans="1:14" x14ac:dyDescent="0.25">
      <c r="A4" t="s">
        <v>433</v>
      </c>
      <c r="B4" s="1" t="s">
        <v>434</v>
      </c>
      <c r="C4" t="s">
        <v>299</v>
      </c>
      <c r="D4" s="1" t="s">
        <v>87</v>
      </c>
      <c r="E4">
        <v>90.798092330679609</v>
      </c>
      <c r="F4">
        <v>85.687459812639204</v>
      </c>
      <c r="G4">
        <v>89.867260489970803</v>
      </c>
      <c r="H4">
        <v>89.969369373612892</v>
      </c>
      <c r="I4">
        <v>87.039877315675909</v>
      </c>
      <c r="J4">
        <v>81.446140159480734</v>
      </c>
      <c r="K4">
        <v>92.350333175364298</v>
      </c>
      <c r="L4">
        <v>92.03528839670912</v>
      </c>
      <c r="M4">
        <v>88.485585291449965</v>
      </c>
      <c r="N4" t="s">
        <v>432</v>
      </c>
    </row>
    <row r="5" spans="1:14" x14ac:dyDescent="0.25">
      <c r="A5" t="s">
        <v>433</v>
      </c>
      <c r="B5" s="1" t="s">
        <v>434</v>
      </c>
      <c r="C5" t="s">
        <v>289</v>
      </c>
      <c r="D5" s="1" t="s">
        <v>185</v>
      </c>
      <c r="E5">
        <v>61.713030523494965</v>
      </c>
      <c r="F5">
        <v>62.167981316919906</v>
      </c>
      <c r="G5">
        <v>62.591275096150056</v>
      </c>
      <c r="H5">
        <v>63.33069135823358</v>
      </c>
      <c r="I5">
        <v>63.857261283704254</v>
      </c>
      <c r="J5">
        <v>63.766484002694334</v>
      </c>
      <c r="K5">
        <v>62.979999185749378</v>
      </c>
      <c r="L5">
        <v>64.487019545660786</v>
      </c>
      <c r="M5">
        <v>65.146154347995875</v>
      </c>
      <c r="N5" t="s">
        <v>432</v>
      </c>
    </row>
    <row r="6" spans="1:14" x14ac:dyDescent="0.25">
      <c r="A6" t="s">
        <v>435</v>
      </c>
      <c r="B6" s="1" t="s">
        <v>436</v>
      </c>
      <c r="C6" t="s">
        <v>299</v>
      </c>
      <c r="D6" s="1" t="s">
        <v>87</v>
      </c>
      <c r="E6">
        <v>70.705001885714324</v>
      </c>
      <c r="F6">
        <v>61.70024285336352</v>
      </c>
      <c r="G6">
        <v>58.509817048527168</v>
      </c>
      <c r="H6">
        <v>56.286040873615043</v>
      </c>
      <c r="I6">
        <v>59.267134258421159</v>
      </c>
      <c r="J6">
        <v>64.624189884563776</v>
      </c>
      <c r="K6">
        <v>72.632849567579882</v>
      </c>
      <c r="L6">
        <v>74.441252823606106</v>
      </c>
      <c r="M6">
        <v>65.886854198482439</v>
      </c>
      <c r="N6" t="s">
        <v>432</v>
      </c>
    </row>
    <row r="7" spans="1:14" x14ac:dyDescent="0.25">
      <c r="A7" t="s">
        <v>435</v>
      </c>
      <c r="B7" s="1" t="s">
        <v>436</v>
      </c>
      <c r="C7" t="s">
        <v>289</v>
      </c>
      <c r="D7" s="1" t="s">
        <v>185</v>
      </c>
      <c r="E7">
        <v>56.038335648435471</v>
      </c>
      <c r="F7">
        <v>56.392451850736684</v>
      </c>
      <c r="G7">
        <v>56.626438811256605</v>
      </c>
      <c r="H7">
        <v>57.036976441386017</v>
      </c>
      <c r="I7">
        <v>57.149846755511838</v>
      </c>
      <c r="J7">
        <v>57.364425401110658</v>
      </c>
      <c r="K7">
        <v>57.362571691027377</v>
      </c>
      <c r="L7">
        <v>57.987813394518938</v>
      </c>
      <c r="M7">
        <v>58.855721548327644</v>
      </c>
      <c r="N7" t="s">
        <v>432</v>
      </c>
    </row>
    <row r="8" spans="1:14" x14ac:dyDescent="0.25">
      <c r="A8" t="s">
        <v>282</v>
      </c>
      <c r="B8" s="1" t="s">
        <v>106</v>
      </c>
      <c r="C8" t="s">
        <v>299</v>
      </c>
      <c r="D8" s="1" t="s">
        <v>87</v>
      </c>
      <c r="E8">
        <v>253.93347168</v>
      </c>
      <c r="F8">
        <v>275.43676757999998</v>
      </c>
      <c r="G8">
        <v>295.52346802</v>
      </c>
      <c r="H8">
        <v>349.21127318999999</v>
      </c>
      <c r="I8">
        <v>366.34014893</v>
      </c>
      <c r="J8">
        <v>396.17477416999998</v>
      </c>
      <c r="K8">
        <v>465.57043456999997</v>
      </c>
      <c r="L8">
        <v>506.86920165999999</v>
      </c>
      <c r="M8">
        <v>590.62799071999996</v>
      </c>
      <c r="N8" t="s">
        <v>432</v>
      </c>
    </row>
    <row r="9" spans="1:14" x14ac:dyDescent="0.25">
      <c r="A9" t="s">
        <v>282</v>
      </c>
      <c r="B9" s="1" t="s">
        <v>106</v>
      </c>
      <c r="C9" t="s">
        <v>289</v>
      </c>
      <c r="D9" s="1" t="s">
        <v>185</v>
      </c>
      <c r="E9">
        <v>78.358000000000004</v>
      </c>
      <c r="F9">
        <v>78.643000000000001</v>
      </c>
      <c r="G9">
        <v>78.900000000000006</v>
      </c>
      <c r="H9">
        <v>79.238</v>
      </c>
      <c r="I9">
        <v>79.466999999999999</v>
      </c>
      <c r="J9">
        <v>77.823999999999998</v>
      </c>
      <c r="K9">
        <v>76.843999999999994</v>
      </c>
      <c r="L9">
        <v>78.769000000000005</v>
      </c>
      <c r="M9">
        <v>79.602000000000004</v>
      </c>
      <c r="N9" t="s">
        <v>432</v>
      </c>
    </row>
    <row r="10" spans="1:14" x14ac:dyDescent="0.25">
      <c r="A10" t="s">
        <v>128</v>
      </c>
      <c r="B10" s="1" t="s">
        <v>233</v>
      </c>
      <c r="C10" t="s">
        <v>299</v>
      </c>
      <c r="D10" s="1" t="s">
        <v>87</v>
      </c>
      <c r="E10">
        <v>296.76834106000001</v>
      </c>
      <c r="F10">
        <v>265.53491210999999</v>
      </c>
      <c r="G10">
        <v>270.93231200999998</v>
      </c>
      <c r="H10">
        <v>271.53808593999997</v>
      </c>
      <c r="I10">
        <v>242.07049560999999</v>
      </c>
      <c r="J10">
        <v>211.07240295</v>
      </c>
      <c r="K10">
        <v>208.93911743000001</v>
      </c>
      <c r="L10">
        <v>180.33454895</v>
      </c>
      <c r="M10">
        <v>233.37947083</v>
      </c>
      <c r="N10" t="s">
        <v>432</v>
      </c>
    </row>
    <row r="11" spans="1:14" x14ac:dyDescent="0.25">
      <c r="A11" t="s">
        <v>128</v>
      </c>
      <c r="B11" s="1" t="s">
        <v>233</v>
      </c>
      <c r="C11" t="s">
        <v>289</v>
      </c>
      <c r="D11" s="1" t="s">
        <v>185</v>
      </c>
      <c r="E11">
        <v>75.159000000000006</v>
      </c>
      <c r="F11">
        <v>75.31</v>
      </c>
      <c r="G11">
        <v>75.430999999999997</v>
      </c>
      <c r="H11">
        <v>75.555000000000007</v>
      </c>
      <c r="I11">
        <v>75.682000000000002</v>
      </c>
      <c r="J11">
        <v>73.257000000000005</v>
      </c>
      <c r="K11">
        <v>75.207999999999998</v>
      </c>
      <c r="L11">
        <v>76.129000000000005</v>
      </c>
      <c r="M11">
        <v>76.260999999999996</v>
      </c>
      <c r="N11" t="s">
        <v>432</v>
      </c>
    </row>
    <row r="12" spans="1:14" x14ac:dyDescent="0.25">
      <c r="A12" t="s">
        <v>437</v>
      </c>
      <c r="B12" s="1" t="s">
        <v>438</v>
      </c>
      <c r="C12" t="s">
        <v>299</v>
      </c>
      <c r="D12" s="1" t="s">
        <v>87</v>
      </c>
      <c r="E12" t="s">
        <v>432</v>
      </c>
      <c r="F12" t="s">
        <v>432</v>
      </c>
      <c r="G12" t="s">
        <v>432</v>
      </c>
      <c r="H12" t="s">
        <v>432</v>
      </c>
      <c r="I12" t="s">
        <v>432</v>
      </c>
      <c r="J12" t="s">
        <v>432</v>
      </c>
      <c r="K12" t="s">
        <v>432</v>
      </c>
      <c r="L12" t="s">
        <v>432</v>
      </c>
      <c r="M12" t="s">
        <v>432</v>
      </c>
      <c r="N12" t="s">
        <v>432</v>
      </c>
    </row>
    <row r="13" spans="1:14" x14ac:dyDescent="0.25">
      <c r="A13" t="s">
        <v>437</v>
      </c>
      <c r="B13" s="1" t="s">
        <v>438</v>
      </c>
      <c r="C13" t="s">
        <v>289</v>
      </c>
      <c r="D13" s="1" t="s">
        <v>185</v>
      </c>
      <c r="E13">
        <v>72.653999999999996</v>
      </c>
      <c r="F13">
        <v>72.64</v>
      </c>
      <c r="G13">
        <v>72.801000000000002</v>
      </c>
      <c r="H13">
        <v>72.793999999999997</v>
      </c>
      <c r="I13">
        <v>72.751000000000005</v>
      </c>
      <c r="J13">
        <v>72.671999999999997</v>
      </c>
      <c r="K13">
        <v>72.707999999999998</v>
      </c>
      <c r="L13">
        <v>72.751999999999995</v>
      </c>
      <c r="M13">
        <v>72.852000000000004</v>
      </c>
      <c r="N13" t="s">
        <v>432</v>
      </c>
    </row>
    <row r="14" spans="1:14" x14ac:dyDescent="0.25">
      <c r="A14" t="s">
        <v>284</v>
      </c>
      <c r="B14" s="1" t="s">
        <v>78</v>
      </c>
      <c r="C14" t="s">
        <v>299</v>
      </c>
      <c r="D14" s="1" t="s">
        <v>87</v>
      </c>
      <c r="E14">
        <v>2672.49731445</v>
      </c>
      <c r="F14">
        <v>2785.6459960900002</v>
      </c>
      <c r="G14">
        <v>2876.2419433599998</v>
      </c>
      <c r="H14">
        <v>3159.1616210900002</v>
      </c>
      <c r="I14">
        <v>3021.078125</v>
      </c>
      <c r="J14">
        <v>3282.0258789099998</v>
      </c>
      <c r="K14">
        <v>3668.4475097700001</v>
      </c>
      <c r="L14">
        <v>3190.11328125</v>
      </c>
      <c r="M14">
        <v>3605.19799805</v>
      </c>
      <c r="N14" t="s">
        <v>432</v>
      </c>
    </row>
    <row r="15" spans="1:14" x14ac:dyDescent="0.25">
      <c r="A15" t="s">
        <v>284</v>
      </c>
      <c r="B15" s="1" t="s">
        <v>78</v>
      </c>
      <c r="C15" t="s">
        <v>289</v>
      </c>
      <c r="D15" s="1" t="s">
        <v>185</v>
      </c>
      <c r="E15">
        <v>84.531999999999996</v>
      </c>
      <c r="F15">
        <v>84.489000000000004</v>
      </c>
      <c r="G15">
        <v>84.358999999999995</v>
      </c>
      <c r="H15">
        <v>84.242000000000004</v>
      </c>
      <c r="I15">
        <v>84.097999999999999</v>
      </c>
      <c r="J15">
        <v>79.418000000000006</v>
      </c>
      <c r="K15">
        <v>82.331000000000003</v>
      </c>
      <c r="L15">
        <v>84.016000000000005</v>
      </c>
      <c r="M15">
        <v>84.040999999999997</v>
      </c>
      <c r="N15" t="s">
        <v>432</v>
      </c>
    </row>
    <row r="16" spans="1:14" x14ac:dyDescent="0.25">
      <c r="A16" t="s">
        <v>35</v>
      </c>
      <c r="B16" s="1" t="s">
        <v>262</v>
      </c>
      <c r="C16" t="s">
        <v>299</v>
      </c>
      <c r="D16" s="1" t="s">
        <v>87</v>
      </c>
      <c r="E16">
        <v>107.52857208</v>
      </c>
      <c r="F16">
        <v>94.014816280000005</v>
      </c>
      <c r="G16">
        <v>112.75364685</v>
      </c>
      <c r="H16">
        <v>83.875556950000004</v>
      </c>
      <c r="I16">
        <v>64.446609499999994</v>
      </c>
      <c r="J16">
        <v>56.016418459999997</v>
      </c>
      <c r="K16">
        <v>66.944869999999995</v>
      </c>
      <c r="L16">
        <v>103.94506072999999</v>
      </c>
      <c r="M16">
        <v>76.071182250000007</v>
      </c>
      <c r="N16" t="s">
        <v>432</v>
      </c>
    </row>
    <row r="17" spans="1:14" x14ac:dyDescent="0.25">
      <c r="A17" t="s">
        <v>35</v>
      </c>
      <c r="B17" s="1" t="s">
        <v>262</v>
      </c>
      <c r="C17" t="s">
        <v>289</v>
      </c>
      <c r="D17" s="1" t="s">
        <v>185</v>
      </c>
      <c r="E17">
        <v>61.042000000000002</v>
      </c>
      <c r="F17">
        <v>61.619</v>
      </c>
      <c r="G17">
        <v>62.122</v>
      </c>
      <c r="H17">
        <v>62.622</v>
      </c>
      <c r="I17">
        <v>63.051000000000002</v>
      </c>
      <c r="J17">
        <v>63.116</v>
      </c>
      <c r="K17">
        <v>62.957999999999998</v>
      </c>
      <c r="L17">
        <v>64.245999999999995</v>
      </c>
      <c r="M17">
        <v>64.617000000000004</v>
      </c>
      <c r="N17" t="s">
        <v>432</v>
      </c>
    </row>
    <row r="18" spans="1:14" x14ac:dyDescent="0.25">
      <c r="A18" t="s">
        <v>145</v>
      </c>
      <c r="B18" s="1" t="s">
        <v>141</v>
      </c>
      <c r="C18" t="s">
        <v>299</v>
      </c>
      <c r="D18" s="1" t="s">
        <v>87</v>
      </c>
      <c r="E18">
        <v>789.30975341999999</v>
      </c>
      <c r="F18">
        <v>817.88891602000001</v>
      </c>
      <c r="G18">
        <v>791.12322998000002</v>
      </c>
      <c r="H18">
        <v>856.37127685999997</v>
      </c>
      <c r="I18">
        <v>808.14996338000003</v>
      </c>
      <c r="J18">
        <v>873.52465819999998</v>
      </c>
      <c r="K18">
        <v>835.06512451000003</v>
      </c>
      <c r="L18">
        <v>891.00323486000002</v>
      </c>
      <c r="M18">
        <v>841.24884033000001</v>
      </c>
      <c r="N18" t="s">
        <v>432</v>
      </c>
    </row>
    <row r="19" spans="1:14" x14ac:dyDescent="0.25">
      <c r="A19" t="s">
        <v>145</v>
      </c>
      <c r="B19" s="1" t="s">
        <v>141</v>
      </c>
      <c r="C19" t="s">
        <v>289</v>
      </c>
      <c r="D19" s="1" t="s">
        <v>185</v>
      </c>
      <c r="E19">
        <v>76.891999999999996</v>
      </c>
      <c r="F19">
        <v>76.968000000000004</v>
      </c>
      <c r="G19">
        <v>77.03</v>
      </c>
      <c r="H19">
        <v>77.132000000000005</v>
      </c>
      <c r="I19">
        <v>77.168000000000006</v>
      </c>
      <c r="J19">
        <v>77.161000000000001</v>
      </c>
      <c r="K19">
        <v>77.197000000000003</v>
      </c>
      <c r="L19">
        <v>77.483000000000004</v>
      </c>
      <c r="M19">
        <v>77.597999999999999</v>
      </c>
      <c r="N19" t="s">
        <v>432</v>
      </c>
    </row>
    <row r="20" spans="1:14" x14ac:dyDescent="0.25">
      <c r="A20" t="s">
        <v>439</v>
      </c>
      <c r="B20" s="1" t="s">
        <v>440</v>
      </c>
      <c r="C20" t="s">
        <v>299</v>
      </c>
      <c r="D20" s="1" t="s">
        <v>87</v>
      </c>
      <c r="E20">
        <v>312.60988314607698</v>
      </c>
      <c r="F20">
        <v>311.94797850709438</v>
      </c>
      <c r="G20">
        <v>307.12661787728194</v>
      </c>
      <c r="H20">
        <v>325.59216458505693</v>
      </c>
      <c r="I20">
        <v>326.67094566125581</v>
      </c>
      <c r="J20">
        <v>327.06962558870384</v>
      </c>
      <c r="K20">
        <v>336.58719473369388</v>
      </c>
      <c r="L20">
        <v>348.76726223854519</v>
      </c>
      <c r="M20">
        <v>363.46512442314656</v>
      </c>
      <c r="N20" t="s">
        <v>432</v>
      </c>
    </row>
    <row r="21" spans="1:14" x14ac:dyDescent="0.25">
      <c r="A21" t="s">
        <v>439</v>
      </c>
      <c r="B21" s="1" t="s">
        <v>440</v>
      </c>
      <c r="C21" t="s">
        <v>289</v>
      </c>
      <c r="D21" s="1" t="s">
        <v>185</v>
      </c>
      <c r="E21">
        <v>70.658012369519213</v>
      </c>
      <c r="F21">
        <v>70.896488116442796</v>
      </c>
      <c r="G21">
        <v>71.112856008064639</v>
      </c>
      <c r="H21">
        <v>71.43129978591368</v>
      </c>
      <c r="I21">
        <v>71.839893267497175</v>
      </c>
      <c r="J21">
        <v>70.726558810386223</v>
      </c>
      <c r="K21">
        <v>70.404114488990302</v>
      </c>
      <c r="L21">
        <v>71.876095599222239</v>
      </c>
      <c r="M21">
        <v>72.444678357853121</v>
      </c>
      <c r="N21" t="s">
        <v>432</v>
      </c>
    </row>
    <row r="22" spans="1:14" x14ac:dyDescent="0.25">
      <c r="A22" t="s">
        <v>149</v>
      </c>
      <c r="B22" s="1" t="s">
        <v>129</v>
      </c>
      <c r="C22" t="s">
        <v>299</v>
      </c>
      <c r="D22" s="1" t="s">
        <v>87</v>
      </c>
      <c r="E22">
        <v>1523.90979004</v>
      </c>
      <c r="F22">
        <v>1276.79785156</v>
      </c>
      <c r="G22">
        <v>1491.11877441</v>
      </c>
      <c r="H22">
        <v>1195.59973145</v>
      </c>
      <c r="I22">
        <v>1007.45629883</v>
      </c>
      <c r="J22">
        <v>910.95867920000001</v>
      </c>
      <c r="K22">
        <v>1182.1593017600001</v>
      </c>
      <c r="L22">
        <v>1415.7957763700001</v>
      </c>
      <c r="M22">
        <v>1456.98596191</v>
      </c>
      <c r="N22" t="s">
        <v>432</v>
      </c>
    </row>
    <row r="23" spans="1:14" x14ac:dyDescent="0.25">
      <c r="A23" t="s">
        <v>149</v>
      </c>
      <c r="B23" s="1" t="s">
        <v>129</v>
      </c>
      <c r="C23" t="s">
        <v>289</v>
      </c>
      <c r="D23" s="1" t="s">
        <v>185</v>
      </c>
      <c r="E23">
        <v>76.599999999999994</v>
      </c>
      <c r="F23">
        <v>76.105000000000004</v>
      </c>
      <c r="G23">
        <v>76.543000000000006</v>
      </c>
      <c r="H23">
        <v>76.77</v>
      </c>
      <c r="I23">
        <v>76.846999999999994</v>
      </c>
      <c r="J23">
        <v>75.878</v>
      </c>
      <c r="K23">
        <v>73.947999999999993</v>
      </c>
      <c r="L23">
        <v>75.805999999999997</v>
      </c>
      <c r="M23">
        <v>77.394999999999996</v>
      </c>
      <c r="N23" t="s">
        <v>432</v>
      </c>
    </row>
    <row r="24" spans="1:14" x14ac:dyDescent="0.25">
      <c r="A24" t="s">
        <v>159</v>
      </c>
      <c r="B24" s="1" t="s">
        <v>96</v>
      </c>
      <c r="C24" t="s">
        <v>299</v>
      </c>
      <c r="D24" s="1" t="s">
        <v>87</v>
      </c>
      <c r="E24">
        <v>365.51950073</v>
      </c>
      <c r="F24">
        <v>359.58227539000001</v>
      </c>
      <c r="G24">
        <v>409.80145263999998</v>
      </c>
      <c r="H24">
        <v>428.34579467999998</v>
      </c>
      <c r="I24">
        <v>533.69952393000005</v>
      </c>
      <c r="J24">
        <v>535.27239989999998</v>
      </c>
      <c r="K24">
        <v>595.83544921999999</v>
      </c>
      <c r="L24">
        <v>674.78619385000002</v>
      </c>
      <c r="M24">
        <v>766.95874022999999</v>
      </c>
      <c r="N24" t="s">
        <v>432</v>
      </c>
    </row>
    <row r="25" spans="1:14" x14ac:dyDescent="0.25">
      <c r="A25" t="s">
        <v>159</v>
      </c>
      <c r="B25" s="1" t="s">
        <v>96</v>
      </c>
      <c r="C25" t="s">
        <v>289</v>
      </c>
      <c r="D25" s="1" t="s">
        <v>185</v>
      </c>
      <c r="E25">
        <v>74.870731707317091</v>
      </c>
      <c r="F25">
        <v>74.868292682926835</v>
      </c>
      <c r="G25">
        <v>75.217073170731709</v>
      </c>
      <c r="H25">
        <v>75.619512195121956</v>
      </c>
      <c r="I25">
        <v>76.221951219512206</v>
      </c>
      <c r="J25">
        <v>73.375609756097575</v>
      </c>
      <c r="K25">
        <v>72.278048780487822</v>
      </c>
      <c r="L25">
        <v>74.765853658536599</v>
      </c>
      <c r="M25">
        <v>77.465853658536602</v>
      </c>
      <c r="N25" t="s">
        <v>432</v>
      </c>
    </row>
    <row r="26" spans="1:14" x14ac:dyDescent="0.25">
      <c r="A26" t="s">
        <v>441</v>
      </c>
      <c r="B26" s="1" t="s">
        <v>442</v>
      </c>
      <c r="C26" t="s">
        <v>299</v>
      </c>
      <c r="D26" s="1" t="s">
        <v>87</v>
      </c>
      <c r="E26" t="s">
        <v>432</v>
      </c>
      <c r="F26" t="s">
        <v>432</v>
      </c>
      <c r="G26" t="s">
        <v>432</v>
      </c>
      <c r="H26" t="s">
        <v>432</v>
      </c>
      <c r="I26" t="s">
        <v>432</v>
      </c>
      <c r="J26" t="s">
        <v>432</v>
      </c>
      <c r="K26" t="s">
        <v>432</v>
      </c>
      <c r="L26" t="s">
        <v>432</v>
      </c>
      <c r="M26" t="s">
        <v>432</v>
      </c>
      <c r="N26" t="s">
        <v>432</v>
      </c>
    </row>
    <row r="27" spans="1:14" x14ac:dyDescent="0.25">
      <c r="A27" t="s">
        <v>441</v>
      </c>
      <c r="B27" s="1" t="s">
        <v>442</v>
      </c>
      <c r="C27" t="s">
        <v>289</v>
      </c>
      <c r="D27" s="1" t="s">
        <v>185</v>
      </c>
      <c r="E27">
        <v>75.405000000000001</v>
      </c>
      <c r="F27">
        <v>75.540000000000006</v>
      </c>
      <c r="G27">
        <v>75.62</v>
      </c>
      <c r="H27">
        <v>75.88</v>
      </c>
      <c r="I27">
        <v>76.019000000000005</v>
      </c>
      <c r="J27">
        <v>75.406000000000006</v>
      </c>
      <c r="K27">
        <v>73.655000000000001</v>
      </c>
      <c r="L27">
        <v>76.225999999999999</v>
      </c>
      <c r="M27">
        <v>76.352999999999994</v>
      </c>
      <c r="N27" t="s">
        <v>432</v>
      </c>
    </row>
    <row r="28" spans="1:14" x14ac:dyDescent="0.25">
      <c r="A28" t="s">
        <v>335</v>
      </c>
      <c r="B28" s="1" t="s">
        <v>342</v>
      </c>
      <c r="C28" t="s">
        <v>299</v>
      </c>
      <c r="D28" s="1" t="s">
        <v>87</v>
      </c>
      <c r="E28">
        <v>5271.9331054699996</v>
      </c>
      <c r="F28">
        <v>5418.4365234400002</v>
      </c>
      <c r="G28">
        <v>5770.6904296900002</v>
      </c>
      <c r="H28">
        <v>5843.6479492199996</v>
      </c>
      <c r="I28">
        <v>5543.3784179699996</v>
      </c>
      <c r="J28">
        <v>5968.0034179699996</v>
      </c>
      <c r="K28">
        <v>7092.1347656300004</v>
      </c>
      <c r="L28">
        <v>6723.9824218800004</v>
      </c>
      <c r="M28">
        <v>6980.3852539099998</v>
      </c>
      <c r="N28" t="s">
        <v>432</v>
      </c>
    </row>
    <row r="29" spans="1:14" x14ac:dyDescent="0.25">
      <c r="A29" t="s">
        <v>335</v>
      </c>
      <c r="B29" s="1" t="s">
        <v>342</v>
      </c>
      <c r="C29" t="s">
        <v>289</v>
      </c>
      <c r="D29" s="1" t="s">
        <v>185</v>
      </c>
      <c r="E29">
        <v>82.40000000000002</v>
      </c>
      <c r="F29">
        <v>82.448780487804896</v>
      </c>
      <c r="G29">
        <v>82.500000000000014</v>
      </c>
      <c r="H29">
        <v>82.748780487804893</v>
      </c>
      <c r="I29">
        <v>82.9</v>
      </c>
      <c r="J29">
        <v>83.2</v>
      </c>
      <c r="K29">
        <v>83.3</v>
      </c>
      <c r="L29">
        <v>83.2</v>
      </c>
      <c r="M29">
        <v>83.051219512195132</v>
      </c>
      <c r="N29" t="s">
        <v>432</v>
      </c>
    </row>
    <row r="30" spans="1:14" x14ac:dyDescent="0.25">
      <c r="A30" t="s">
        <v>193</v>
      </c>
      <c r="B30" s="1" t="s">
        <v>236</v>
      </c>
      <c r="C30" t="s">
        <v>299</v>
      </c>
      <c r="D30" s="1" t="s">
        <v>87</v>
      </c>
      <c r="E30">
        <v>4649.5966796900002</v>
      </c>
      <c r="F30">
        <v>4758.8989257800004</v>
      </c>
      <c r="G30">
        <v>4999.8696289099998</v>
      </c>
      <c r="H30">
        <v>5394.5590820300004</v>
      </c>
      <c r="I30">
        <v>5313.1928710900002</v>
      </c>
      <c r="J30">
        <v>5569.8413085900002</v>
      </c>
      <c r="K30">
        <v>6554.1425781300004</v>
      </c>
      <c r="L30">
        <v>5897.9760742199996</v>
      </c>
      <c r="M30">
        <v>6267.9316406300004</v>
      </c>
      <c r="N30">
        <v>6739.3090820300004</v>
      </c>
    </row>
    <row r="31" spans="1:14" x14ac:dyDescent="0.25">
      <c r="A31" t="s">
        <v>193</v>
      </c>
      <c r="B31" s="1" t="s">
        <v>236</v>
      </c>
      <c r="C31" t="s">
        <v>289</v>
      </c>
      <c r="D31" s="1" t="s">
        <v>185</v>
      </c>
      <c r="E31">
        <v>81.190243902439036</v>
      </c>
      <c r="F31">
        <v>81.64146341463416</v>
      </c>
      <c r="G31">
        <v>81.643902439024401</v>
      </c>
      <c r="H31">
        <v>81.692682926829278</v>
      </c>
      <c r="I31">
        <v>81.895121951219508</v>
      </c>
      <c r="J31">
        <v>81.192682926829278</v>
      </c>
      <c r="K31">
        <v>81.190243902439036</v>
      </c>
      <c r="L31">
        <v>81.2951219512195</v>
      </c>
      <c r="M31">
        <v>81.541463414634165</v>
      </c>
      <c r="N31" t="s">
        <v>432</v>
      </c>
    </row>
    <row r="32" spans="1:14" x14ac:dyDescent="0.25">
      <c r="A32" t="s">
        <v>353</v>
      </c>
      <c r="B32" s="1" t="s">
        <v>137</v>
      </c>
      <c r="C32" t="s">
        <v>299</v>
      </c>
      <c r="D32" s="1" t="s">
        <v>87</v>
      </c>
      <c r="E32">
        <v>236.25979613999999</v>
      </c>
      <c r="F32">
        <v>169.69596863000001</v>
      </c>
      <c r="G32">
        <v>167.01565552</v>
      </c>
      <c r="H32">
        <v>180.03610229</v>
      </c>
      <c r="I32">
        <v>199.25746154999999</v>
      </c>
      <c r="J32">
        <v>245.21949767999999</v>
      </c>
      <c r="K32">
        <v>250.9887085</v>
      </c>
      <c r="L32">
        <v>261.44659424000002</v>
      </c>
      <c r="M32">
        <v>299.81060790999999</v>
      </c>
      <c r="N32" t="s">
        <v>432</v>
      </c>
    </row>
    <row r="33" spans="1:14" x14ac:dyDescent="0.25">
      <c r="A33" t="s">
        <v>353</v>
      </c>
      <c r="B33" s="1" t="s">
        <v>137</v>
      </c>
      <c r="C33" t="s">
        <v>289</v>
      </c>
      <c r="D33" s="1" t="s">
        <v>185</v>
      </c>
      <c r="E33">
        <v>72.349000000000004</v>
      </c>
      <c r="F33">
        <v>72.567999999999998</v>
      </c>
      <c r="G33">
        <v>72.694000000000003</v>
      </c>
      <c r="H33">
        <v>73.016000000000005</v>
      </c>
      <c r="I33">
        <v>73.290000000000006</v>
      </c>
      <c r="J33">
        <v>70.311999999999998</v>
      </c>
      <c r="K33">
        <v>70.998999999999995</v>
      </c>
      <c r="L33">
        <v>74.125</v>
      </c>
      <c r="M33">
        <v>74.429000000000002</v>
      </c>
      <c r="N33" t="s">
        <v>432</v>
      </c>
    </row>
    <row r="34" spans="1:14" x14ac:dyDescent="0.25">
      <c r="A34" t="s">
        <v>237</v>
      </c>
      <c r="B34" s="1" t="s">
        <v>234</v>
      </c>
      <c r="C34" t="s">
        <v>299</v>
      </c>
      <c r="D34" s="1" t="s">
        <v>87</v>
      </c>
      <c r="E34">
        <v>1588.57775879</v>
      </c>
      <c r="F34">
        <v>1711.60510254</v>
      </c>
      <c r="G34">
        <v>2069.4455566400002</v>
      </c>
      <c r="H34">
        <v>1875.74035645</v>
      </c>
      <c r="I34">
        <v>1881.40393066</v>
      </c>
      <c r="J34">
        <v>1861.0637207</v>
      </c>
      <c r="K34">
        <v>1946.2196044899999</v>
      </c>
      <c r="L34">
        <v>2327.2011718799999</v>
      </c>
      <c r="M34">
        <v>2262.3344726599998</v>
      </c>
      <c r="N34" t="s">
        <v>432</v>
      </c>
    </row>
    <row r="35" spans="1:14" x14ac:dyDescent="0.25">
      <c r="A35" t="s">
        <v>237</v>
      </c>
      <c r="B35" s="1" t="s">
        <v>234</v>
      </c>
      <c r="C35" t="s">
        <v>289</v>
      </c>
      <c r="D35" s="1" t="s">
        <v>185</v>
      </c>
      <c r="E35">
        <v>73.805000000000007</v>
      </c>
      <c r="F35">
        <v>74.042000000000002</v>
      </c>
      <c r="G35">
        <v>74.031000000000006</v>
      </c>
      <c r="H35">
        <v>74.061999999999998</v>
      </c>
      <c r="I35">
        <v>71.408000000000001</v>
      </c>
      <c r="J35">
        <v>72.994</v>
      </c>
      <c r="K35">
        <v>70.751999999999995</v>
      </c>
      <c r="L35">
        <v>74.491</v>
      </c>
      <c r="M35">
        <v>74.552000000000007</v>
      </c>
      <c r="N35" t="s">
        <v>432</v>
      </c>
    </row>
    <row r="36" spans="1:14" x14ac:dyDescent="0.25">
      <c r="A36" t="s">
        <v>356</v>
      </c>
      <c r="B36" s="1" t="s">
        <v>171</v>
      </c>
      <c r="C36" t="s">
        <v>299</v>
      </c>
      <c r="D36" s="1" t="s">
        <v>87</v>
      </c>
      <c r="E36">
        <v>1128.2429199200001</v>
      </c>
      <c r="F36">
        <v>1095.92541504</v>
      </c>
      <c r="G36">
        <v>1080.0889892600001</v>
      </c>
      <c r="H36">
        <v>1041.8560791</v>
      </c>
      <c r="I36">
        <v>1030.26379395</v>
      </c>
      <c r="J36">
        <v>1101.14025879</v>
      </c>
      <c r="K36">
        <v>1176.9210205100001</v>
      </c>
      <c r="L36">
        <v>1178.8066406299999</v>
      </c>
      <c r="M36">
        <v>1175.8162841799999</v>
      </c>
      <c r="N36" t="s">
        <v>432</v>
      </c>
    </row>
    <row r="37" spans="1:14" x14ac:dyDescent="0.25">
      <c r="A37" t="s">
        <v>356</v>
      </c>
      <c r="B37" s="1" t="s">
        <v>171</v>
      </c>
      <c r="C37" t="s">
        <v>289</v>
      </c>
      <c r="D37" s="1" t="s">
        <v>185</v>
      </c>
      <c r="E37">
        <v>80.337999999999994</v>
      </c>
      <c r="F37">
        <v>80.406999999999996</v>
      </c>
      <c r="G37">
        <v>80.406999999999996</v>
      </c>
      <c r="H37">
        <v>80.412000000000006</v>
      </c>
      <c r="I37">
        <v>80.471000000000004</v>
      </c>
      <c r="J37">
        <v>78.683000000000007</v>
      </c>
      <c r="K37">
        <v>78.082999999999998</v>
      </c>
      <c r="L37">
        <v>80.992000000000004</v>
      </c>
      <c r="M37">
        <v>81.284000000000006</v>
      </c>
      <c r="N37" t="s">
        <v>432</v>
      </c>
    </row>
    <row r="38" spans="1:14" x14ac:dyDescent="0.25">
      <c r="A38" t="s">
        <v>311</v>
      </c>
      <c r="B38" s="1" t="s">
        <v>189</v>
      </c>
      <c r="C38" t="s">
        <v>299</v>
      </c>
      <c r="D38" s="1" t="s">
        <v>87</v>
      </c>
      <c r="E38">
        <v>33.209987640000001</v>
      </c>
      <c r="F38">
        <v>39.306476590000003</v>
      </c>
      <c r="G38">
        <v>42.175109859999999</v>
      </c>
      <c r="H38">
        <v>44.788928990000002</v>
      </c>
      <c r="I38">
        <v>45.076770779999997</v>
      </c>
      <c r="J38">
        <v>49.0274353</v>
      </c>
      <c r="K38">
        <v>56.096401210000003</v>
      </c>
      <c r="L38">
        <v>56.621421810000001</v>
      </c>
      <c r="M38">
        <v>53.464324949999998</v>
      </c>
      <c r="N38" t="s">
        <v>432</v>
      </c>
    </row>
    <row r="39" spans="1:14" x14ac:dyDescent="0.25">
      <c r="A39" t="s">
        <v>311</v>
      </c>
      <c r="B39" s="1" t="s">
        <v>189</v>
      </c>
      <c r="C39" t="s">
        <v>289</v>
      </c>
      <c r="D39" s="1" t="s">
        <v>185</v>
      </c>
      <c r="E39">
        <v>70.543000000000006</v>
      </c>
      <c r="F39">
        <v>71.075000000000003</v>
      </c>
      <c r="G39">
        <v>71.605999999999995</v>
      </c>
      <c r="H39">
        <v>72.122</v>
      </c>
      <c r="I39">
        <v>72.625</v>
      </c>
      <c r="J39">
        <v>71.421000000000006</v>
      </c>
      <c r="K39">
        <v>71.102999999999994</v>
      </c>
      <c r="L39">
        <v>74.265000000000001</v>
      </c>
      <c r="M39">
        <v>74.671999999999997</v>
      </c>
      <c r="N39" t="s">
        <v>432</v>
      </c>
    </row>
    <row r="40" spans="1:14" x14ac:dyDescent="0.25">
      <c r="A40" t="s">
        <v>158</v>
      </c>
      <c r="B40" s="1" t="s">
        <v>39</v>
      </c>
      <c r="C40" t="s">
        <v>299</v>
      </c>
      <c r="D40" s="1" t="s">
        <v>87</v>
      </c>
      <c r="E40">
        <v>1154.6271972699999</v>
      </c>
      <c r="F40">
        <v>1181.1425781299999</v>
      </c>
      <c r="G40">
        <v>1182.0036621100001</v>
      </c>
      <c r="H40">
        <v>1169.3555908200001</v>
      </c>
      <c r="I40">
        <v>1168.1193847699999</v>
      </c>
      <c r="J40">
        <v>1234.30041504</v>
      </c>
      <c r="K40">
        <v>1391.4985351600001</v>
      </c>
      <c r="L40">
        <v>1302.0592041</v>
      </c>
      <c r="M40">
        <v>1286.4768066399999</v>
      </c>
      <c r="N40" t="s">
        <v>432</v>
      </c>
    </row>
    <row r="41" spans="1:14" x14ac:dyDescent="0.25">
      <c r="A41" t="s">
        <v>158</v>
      </c>
      <c r="B41" s="1" t="s">
        <v>39</v>
      </c>
      <c r="C41" t="s">
        <v>289</v>
      </c>
      <c r="D41" s="1" t="s">
        <v>185</v>
      </c>
      <c r="E41">
        <v>76.055000000000007</v>
      </c>
      <c r="F41">
        <v>76.168000000000006</v>
      </c>
      <c r="G41">
        <v>76.236999999999995</v>
      </c>
      <c r="H41">
        <v>76.378</v>
      </c>
      <c r="I41">
        <v>76.495000000000005</v>
      </c>
      <c r="J41">
        <v>76.647000000000006</v>
      </c>
      <c r="K41">
        <v>76.58</v>
      </c>
      <c r="L41">
        <v>75.676000000000002</v>
      </c>
      <c r="M41">
        <v>76.177999999999997</v>
      </c>
      <c r="N41" t="s">
        <v>432</v>
      </c>
    </row>
    <row r="42" spans="1:14" x14ac:dyDescent="0.25">
      <c r="A42" t="s">
        <v>358</v>
      </c>
      <c r="B42" s="1" t="s">
        <v>372</v>
      </c>
      <c r="C42" t="s">
        <v>299</v>
      </c>
      <c r="D42" s="1" t="s">
        <v>87</v>
      </c>
      <c r="E42">
        <v>360.91937256</v>
      </c>
      <c r="F42">
        <v>296.94720459000001</v>
      </c>
      <c r="G42">
        <v>331.94082642000001</v>
      </c>
      <c r="H42">
        <v>349.99176025000003</v>
      </c>
      <c r="I42">
        <v>400.11621093999997</v>
      </c>
      <c r="J42">
        <v>420.43655396000003</v>
      </c>
      <c r="K42">
        <v>484.03930664000001</v>
      </c>
      <c r="L42">
        <v>529.01873779000005</v>
      </c>
      <c r="M42">
        <v>558.22644043000003</v>
      </c>
      <c r="N42" t="s">
        <v>432</v>
      </c>
    </row>
    <row r="43" spans="1:14" x14ac:dyDescent="0.25">
      <c r="A43" t="s">
        <v>358</v>
      </c>
      <c r="B43" s="1" t="s">
        <v>372</v>
      </c>
      <c r="C43" t="s">
        <v>289</v>
      </c>
      <c r="D43" s="1" t="s">
        <v>185</v>
      </c>
      <c r="E43">
        <v>73.624390243902454</v>
      </c>
      <c r="F43">
        <v>73.826829268292698</v>
      </c>
      <c r="G43">
        <v>74.129268292682937</v>
      </c>
      <c r="H43">
        <v>74.175609756097572</v>
      </c>
      <c r="I43">
        <v>74.226829268292704</v>
      </c>
      <c r="J43">
        <v>72.138560975609764</v>
      </c>
      <c r="K43">
        <v>72.071463414634152</v>
      </c>
      <c r="L43">
        <v>74.103365853658545</v>
      </c>
      <c r="M43">
        <v>74.183780487804881</v>
      </c>
      <c r="N43" t="s">
        <v>432</v>
      </c>
    </row>
    <row r="44" spans="1:14" x14ac:dyDescent="0.25">
      <c r="A44" t="s">
        <v>366</v>
      </c>
      <c r="B44" s="1" t="s">
        <v>364</v>
      </c>
      <c r="C44" t="s">
        <v>299</v>
      </c>
      <c r="D44" s="1" t="s">
        <v>87</v>
      </c>
      <c r="E44">
        <v>4465.4555664099998</v>
      </c>
      <c r="F44">
        <v>4569.640625</v>
      </c>
      <c r="G44">
        <v>4827.5932617199996</v>
      </c>
      <c r="H44">
        <v>5233.6826171900002</v>
      </c>
      <c r="I44">
        <v>5087.4565429699996</v>
      </c>
      <c r="J44">
        <v>5269.40625</v>
      </c>
      <c r="K44">
        <v>5847.1733398400002</v>
      </c>
      <c r="L44">
        <v>5487.5927734400002</v>
      </c>
      <c r="M44">
        <v>5931.0146484400002</v>
      </c>
      <c r="N44" t="s">
        <v>432</v>
      </c>
    </row>
    <row r="45" spans="1:14" x14ac:dyDescent="0.25">
      <c r="A45" t="s">
        <v>366</v>
      </c>
      <c r="B45" s="1" t="s">
        <v>364</v>
      </c>
      <c r="C45" t="s">
        <v>289</v>
      </c>
      <c r="D45" s="1" t="s">
        <v>185</v>
      </c>
      <c r="E45">
        <v>80.992682926829289</v>
      </c>
      <c r="F45">
        <v>81.439024390243901</v>
      </c>
      <c r="G45">
        <v>81.492682926829275</v>
      </c>
      <c r="H45">
        <v>81.595121951219525</v>
      </c>
      <c r="I45">
        <v>81.995121951219517</v>
      </c>
      <c r="J45">
        <v>80.695121951219519</v>
      </c>
      <c r="K45">
        <v>81.790243902439045</v>
      </c>
      <c r="L45">
        <v>81.748780487804893</v>
      </c>
      <c r="M45">
        <v>82.397560975609764</v>
      </c>
      <c r="N45" t="s">
        <v>432</v>
      </c>
    </row>
    <row r="46" spans="1:14" x14ac:dyDescent="0.25">
      <c r="A46" t="s">
        <v>375</v>
      </c>
      <c r="B46" s="1" t="s">
        <v>304</v>
      </c>
      <c r="C46" t="s">
        <v>299</v>
      </c>
      <c r="D46" s="1" t="s">
        <v>87</v>
      </c>
      <c r="E46">
        <v>286.78604125999999</v>
      </c>
      <c r="F46">
        <v>293.09829711999998</v>
      </c>
      <c r="G46">
        <v>280.71743773999998</v>
      </c>
      <c r="H46">
        <v>286.83633422999998</v>
      </c>
      <c r="I46">
        <v>298.14306641000002</v>
      </c>
      <c r="J46">
        <v>279.10131835999999</v>
      </c>
      <c r="K46">
        <v>308.93920897999999</v>
      </c>
      <c r="L46">
        <v>298.01553345000002</v>
      </c>
      <c r="M46">
        <v>309.40835571000002</v>
      </c>
      <c r="N46" t="s">
        <v>432</v>
      </c>
    </row>
    <row r="47" spans="1:14" x14ac:dyDescent="0.25">
      <c r="A47" t="s">
        <v>375</v>
      </c>
      <c r="B47" s="1" t="s">
        <v>304</v>
      </c>
      <c r="C47" t="s">
        <v>289</v>
      </c>
      <c r="D47" s="1" t="s">
        <v>185</v>
      </c>
      <c r="E47">
        <v>71.647000000000006</v>
      </c>
      <c r="F47">
        <v>71.843000000000004</v>
      </c>
      <c r="G47">
        <v>72.061999999999998</v>
      </c>
      <c r="H47">
        <v>72.322000000000003</v>
      </c>
      <c r="I47">
        <v>72.576999999999998</v>
      </c>
      <c r="J47">
        <v>71.58</v>
      </c>
      <c r="K47">
        <v>70.917000000000002</v>
      </c>
      <c r="L47">
        <v>72.19</v>
      </c>
      <c r="M47">
        <v>73.566000000000003</v>
      </c>
      <c r="N47" t="s">
        <v>432</v>
      </c>
    </row>
    <row r="48" spans="1:14" x14ac:dyDescent="0.25">
      <c r="A48" t="s">
        <v>184</v>
      </c>
      <c r="B48" s="1" t="s">
        <v>327</v>
      </c>
      <c r="C48" t="s">
        <v>299</v>
      </c>
      <c r="D48" s="1" t="s">
        <v>87</v>
      </c>
      <c r="E48">
        <v>27.34733391</v>
      </c>
      <c r="F48">
        <v>36.585659030000002</v>
      </c>
      <c r="G48">
        <v>38.758621220000002</v>
      </c>
      <c r="H48">
        <v>39.54786301</v>
      </c>
      <c r="I48">
        <v>33.945728299999999</v>
      </c>
      <c r="J48">
        <v>36.620525360000002</v>
      </c>
      <c r="K48">
        <v>38.450531009999999</v>
      </c>
      <c r="L48">
        <v>37.762912749999998</v>
      </c>
      <c r="M48">
        <v>46.528221129999999</v>
      </c>
      <c r="N48" t="s">
        <v>432</v>
      </c>
    </row>
    <row r="49" spans="1:14" x14ac:dyDescent="0.25">
      <c r="A49" t="s">
        <v>184</v>
      </c>
      <c r="B49" s="1" t="s">
        <v>327</v>
      </c>
      <c r="C49" t="s">
        <v>289</v>
      </c>
      <c r="D49" s="1" t="s">
        <v>185</v>
      </c>
      <c r="E49">
        <v>59.122999999999998</v>
      </c>
      <c r="F49">
        <v>59.283000000000001</v>
      </c>
      <c r="G49">
        <v>59.527999999999999</v>
      </c>
      <c r="H49">
        <v>59.71</v>
      </c>
      <c r="I49">
        <v>59.887999999999998</v>
      </c>
      <c r="J49">
        <v>60.154000000000003</v>
      </c>
      <c r="K49">
        <v>59.61</v>
      </c>
      <c r="L49">
        <v>60.475000000000001</v>
      </c>
      <c r="M49">
        <v>60.774000000000001</v>
      </c>
      <c r="N49" t="s">
        <v>432</v>
      </c>
    </row>
    <row r="50" spans="1:14" x14ac:dyDescent="0.25">
      <c r="A50" t="s">
        <v>443</v>
      </c>
      <c r="B50" s="1" t="s">
        <v>444</v>
      </c>
      <c r="C50" t="s">
        <v>299</v>
      </c>
      <c r="D50" s="1" t="s">
        <v>87</v>
      </c>
      <c r="E50" t="s">
        <v>432</v>
      </c>
      <c r="F50" t="s">
        <v>432</v>
      </c>
      <c r="G50" t="s">
        <v>432</v>
      </c>
      <c r="H50" t="s">
        <v>432</v>
      </c>
      <c r="I50" t="s">
        <v>432</v>
      </c>
      <c r="J50" t="s">
        <v>432</v>
      </c>
      <c r="K50" t="s">
        <v>432</v>
      </c>
      <c r="L50" t="s">
        <v>432</v>
      </c>
      <c r="M50" t="s">
        <v>432</v>
      </c>
      <c r="N50" t="s">
        <v>432</v>
      </c>
    </row>
    <row r="51" spans="1:14" x14ac:dyDescent="0.25">
      <c r="A51" t="s">
        <v>443</v>
      </c>
      <c r="B51" s="1" t="s">
        <v>444</v>
      </c>
      <c r="C51" t="s">
        <v>289</v>
      </c>
      <c r="D51" s="1" t="s">
        <v>185</v>
      </c>
      <c r="E51">
        <v>80.337999999999994</v>
      </c>
      <c r="F51">
        <v>80.475999999999999</v>
      </c>
      <c r="G51">
        <v>80.686000000000007</v>
      </c>
      <c r="H51">
        <v>80.986000000000004</v>
      </c>
      <c r="I51">
        <v>81.251000000000005</v>
      </c>
      <c r="J51">
        <v>81.456000000000003</v>
      </c>
      <c r="K51">
        <v>81.745000000000005</v>
      </c>
      <c r="L51">
        <v>82.061999999999998</v>
      </c>
      <c r="M51">
        <v>82.308999999999997</v>
      </c>
      <c r="N51" t="s">
        <v>432</v>
      </c>
    </row>
    <row r="52" spans="1:14" x14ac:dyDescent="0.25">
      <c r="A52" t="s">
        <v>58</v>
      </c>
      <c r="B52" s="1" t="s">
        <v>155</v>
      </c>
      <c r="C52" t="s">
        <v>299</v>
      </c>
      <c r="D52" s="1" t="s">
        <v>87</v>
      </c>
      <c r="E52">
        <v>96.866714479999999</v>
      </c>
      <c r="F52">
        <v>97.42939758</v>
      </c>
      <c r="G52">
        <v>103.63583374</v>
      </c>
      <c r="H52">
        <v>102.01222992</v>
      </c>
      <c r="I52">
        <v>115.71811676</v>
      </c>
      <c r="J52">
        <v>134.13723755000001</v>
      </c>
      <c r="K52">
        <v>161.46617126000001</v>
      </c>
      <c r="L52">
        <v>138.00679016000001</v>
      </c>
      <c r="M52">
        <v>162.19680786000001</v>
      </c>
      <c r="N52" t="s">
        <v>432</v>
      </c>
    </row>
    <row r="53" spans="1:14" x14ac:dyDescent="0.25">
      <c r="A53" t="s">
        <v>58</v>
      </c>
      <c r="B53" s="1" t="s">
        <v>155</v>
      </c>
      <c r="C53" t="s">
        <v>289</v>
      </c>
      <c r="D53" s="1" t="s">
        <v>185</v>
      </c>
      <c r="E53">
        <v>70.796999999999997</v>
      </c>
      <c r="F53">
        <v>71.119</v>
      </c>
      <c r="G53">
        <v>71.412999999999997</v>
      </c>
      <c r="H53">
        <v>71.710999999999999</v>
      </c>
      <c r="I53">
        <v>72.004999999999995</v>
      </c>
      <c r="J53">
        <v>72.253</v>
      </c>
      <c r="K53">
        <v>72.447999999999993</v>
      </c>
      <c r="L53">
        <v>72.754000000000005</v>
      </c>
      <c r="M53">
        <v>72.974999999999994</v>
      </c>
      <c r="N53" t="s">
        <v>432</v>
      </c>
    </row>
    <row r="54" spans="1:14" x14ac:dyDescent="0.25">
      <c r="A54" t="s">
        <v>309</v>
      </c>
      <c r="B54" s="1" t="s">
        <v>75</v>
      </c>
      <c r="C54" t="s">
        <v>299</v>
      </c>
      <c r="D54" s="1" t="s">
        <v>87</v>
      </c>
      <c r="E54">
        <v>196.25799560999999</v>
      </c>
      <c r="F54">
        <v>207.45112610000001</v>
      </c>
      <c r="G54">
        <v>214.58572387999999</v>
      </c>
      <c r="H54">
        <v>231.18806458</v>
      </c>
      <c r="I54">
        <v>241.34619140999999</v>
      </c>
      <c r="J54">
        <v>248.69514465</v>
      </c>
      <c r="K54">
        <v>276.20880126999998</v>
      </c>
      <c r="L54">
        <v>260.88070678999998</v>
      </c>
      <c r="M54">
        <v>255.04104613999999</v>
      </c>
      <c r="N54" t="s">
        <v>432</v>
      </c>
    </row>
    <row r="55" spans="1:14" x14ac:dyDescent="0.25">
      <c r="A55" t="s">
        <v>309</v>
      </c>
      <c r="B55" s="1" t="s">
        <v>75</v>
      </c>
      <c r="C55" t="s">
        <v>289</v>
      </c>
      <c r="D55" s="1" t="s">
        <v>185</v>
      </c>
      <c r="E55">
        <v>67.204999999999998</v>
      </c>
      <c r="F55">
        <v>67.391999999999996</v>
      </c>
      <c r="G55">
        <v>67.536000000000001</v>
      </c>
      <c r="H55">
        <v>67.698999999999998</v>
      </c>
      <c r="I55">
        <v>67.819999999999993</v>
      </c>
      <c r="J55">
        <v>62.905999999999999</v>
      </c>
      <c r="K55">
        <v>61.427</v>
      </c>
      <c r="L55">
        <v>67.433999999999997</v>
      </c>
      <c r="M55">
        <v>68.581000000000003</v>
      </c>
      <c r="N55" t="s">
        <v>432</v>
      </c>
    </row>
    <row r="56" spans="1:14" x14ac:dyDescent="0.25">
      <c r="A56" t="s">
        <v>286</v>
      </c>
      <c r="B56" s="1" t="s">
        <v>384</v>
      </c>
      <c r="C56" t="s">
        <v>299</v>
      </c>
      <c r="D56" s="1" t="s">
        <v>87</v>
      </c>
      <c r="E56">
        <v>430.83413696000002</v>
      </c>
      <c r="F56">
        <v>450.44155884000003</v>
      </c>
      <c r="G56">
        <v>471.32647704999999</v>
      </c>
      <c r="H56">
        <v>529.85546875</v>
      </c>
      <c r="I56">
        <v>546.45086670000001</v>
      </c>
      <c r="J56">
        <v>594.82257079999999</v>
      </c>
      <c r="K56">
        <v>697.07427978999999</v>
      </c>
      <c r="L56">
        <v>667.29681396000001</v>
      </c>
      <c r="M56">
        <v>772.88568114999998</v>
      </c>
      <c r="N56" t="s">
        <v>432</v>
      </c>
    </row>
    <row r="57" spans="1:14" x14ac:dyDescent="0.25">
      <c r="A57" t="s">
        <v>286</v>
      </c>
      <c r="B57" s="1" t="s">
        <v>384</v>
      </c>
      <c r="C57" t="s">
        <v>289</v>
      </c>
      <c r="D57" s="1" t="s">
        <v>185</v>
      </c>
      <c r="E57">
        <v>77.072999999999993</v>
      </c>
      <c r="F57">
        <v>77.123999999999995</v>
      </c>
      <c r="G57">
        <v>77.385000000000005</v>
      </c>
      <c r="H57">
        <v>77.941999999999993</v>
      </c>
      <c r="I57">
        <v>77.394000000000005</v>
      </c>
      <c r="J57">
        <v>76.040000000000006</v>
      </c>
      <c r="K57">
        <v>74.566999999999993</v>
      </c>
      <c r="L57">
        <v>76.777000000000001</v>
      </c>
      <c r="M57">
        <v>77.849999999999994</v>
      </c>
      <c r="N57" t="s">
        <v>432</v>
      </c>
    </row>
    <row r="58" spans="1:14" x14ac:dyDescent="0.25">
      <c r="A58" t="s">
        <v>62</v>
      </c>
      <c r="B58" s="1" t="s">
        <v>275</v>
      </c>
      <c r="C58" t="s">
        <v>299</v>
      </c>
      <c r="D58" s="1" t="s">
        <v>87</v>
      </c>
      <c r="E58">
        <v>374.79058837999997</v>
      </c>
      <c r="F58">
        <v>389.31076050000001</v>
      </c>
      <c r="G58">
        <v>471.05056762999999</v>
      </c>
      <c r="H58">
        <v>447.44738769999998</v>
      </c>
      <c r="I58">
        <v>438.28546143</v>
      </c>
      <c r="J58">
        <v>386.28860473999998</v>
      </c>
      <c r="K58">
        <v>492.14276123000002</v>
      </c>
      <c r="L58">
        <v>477.77633666999998</v>
      </c>
      <c r="M58">
        <v>489.59677124000001</v>
      </c>
      <c r="N58" t="s">
        <v>432</v>
      </c>
    </row>
    <row r="59" spans="1:14" x14ac:dyDescent="0.25">
      <c r="A59" t="s">
        <v>62</v>
      </c>
      <c r="B59" s="1" t="s">
        <v>275</v>
      </c>
      <c r="C59" t="s">
        <v>289</v>
      </c>
      <c r="D59" s="1" t="s">
        <v>185</v>
      </c>
      <c r="E59">
        <v>63.215000000000003</v>
      </c>
      <c r="F59">
        <v>64.319999999999993</v>
      </c>
      <c r="G59">
        <v>65.42</v>
      </c>
      <c r="H59">
        <v>66.370999999999995</v>
      </c>
      <c r="I59">
        <v>67.167000000000002</v>
      </c>
      <c r="J59">
        <v>67.643000000000001</v>
      </c>
      <c r="K59">
        <v>63.302999999999997</v>
      </c>
      <c r="L59">
        <v>68.748999999999995</v>
      </c>
      <c r="M59">
        <v>69.162999999999997</v>
      </c>
      <c r="N59" t="s">
        <v>432</v>
      </c>
    </row>
    <row r="60" spans="1:14" x14ac:dyDescent="0.25">
      <c r="A60" t="s">
        <v>357</v>
      </c>
      <c r="B60" s="1" t="s">
        <v>138</v>
      </c>
      <c r="C60" t="s">
        <v>299</v>
      </c>
      <c r="D60" s="1" t="s">
        <v>87</v>
      </c>
      <c r="E60">
        <v>796.15252685999997</v>
      </c>
      <c r="F60">
        <v>810.20037841999999</v>
      </c>
      <c r="G60">
        <v>954.75012206999997</v>
      </c>
      <c r="H60">
        <v>880.28430175999995</v>
      </c>
      <c r="I60">
        <v>868.17248534999999</v>
      </c>
      <c r="J60">
        <v>680.76843262</v>
      </c>
      <c r="K60">
        <v>768.27075194999998</v>
      </c>
      <c r="L60">
        <v>871.27526854999996</v>
      </c>
      <c r="M60">
        <v>1009.8356323199999</v>
      </c>
      <c r="N60" t="s">
        <v>432</v>
      </c>
    </row>
    <row r="61" spans="1:14" x14ac:dyDescent="0.25">
      <c r="A61" t="s">
        <v>357</v>
      </c>
      <c r="B61" s="1" t="s">
        <v>138</v>
      </c>
      <c r="C61" t="s">
        <v>289</v>
      </c>
      <c r="D61" s="1" t="s">
        <v>185</v>
      </c>
      <c r="E61">
        <v>75.105999999999995</v>
      </c>
      <c r="F61">
        <v>75.081000000000003</v>
      </c>
      <c r="G61">
        <v>75.382999999999996</v>
      </c>
      <c r="H61">
        <v>75.632999999999996</v>
      </c>
      <c r="I61">
        <v>75.808999999999997</v>
      </c>
      <c r="J61">
        <v>74.506</v>
      </c>
      <c r="K61">
        <v>73.037999999999997</v>
      </c>
      <c r="L61">
        <v>74.872</v>
      </c>
      <c r="M61">
        <v>75.847999999999999</v>
      </c>
      <c r="N61" t="s">
        <v>432</v>
      </c>
    </row>
    <row r="62" spans="1:14" x14ac:dyDescent="0.25">
      <c r="A62" t="s">
        <v>445</v>
      </c>
      <c r="B62" s="1" t="s">
        <v>446</v>
      </c>
      <c r="C62" t="s">
        <v>299</v>
      </c>
      <c r="D62" s="1" t="s">
        <v>87</v>
      </c>
      <c r="E62" t="s">
        <v>432</v>
      </c>
      <c r="F62" t="s">
        <v>432</v>
      </c>
      <c r="G62" t="s">
        <v>432</v>
      </c>
      <c r="H62" t="s">
        <v>432</v>
      </c>
      <c r="I62" t="s">
        <v>432</v>
      </c>
      <c r="J62" t="s">
        <v>432</v>
      </c>
      <c r="K62" t="s">
        <v>432</v>
      </c>
      <c r="L62" t="s">
        <v>432</v>
      </c>
      <c r="M62" t="s">
        <v>432</v>
      </c>
      <c r="N62" t="s">
        <v>432</v>
      </c>
    </row>
    <row r="63" spans="1:14" x14ac:dyDescent="0.25">
      <c r="A63" t="s">
        <v>445</v>
      </c>
      <c r="B63" s="1" t="s">
        <v>446</v>
      </c>
      <c r="C63" t="s">
        <v>289</v>
      </c>
      <c r="D63" s="1" t="s">
        <v>185</v>
      </c>
      <c r="E63">
        <v>76.558000000000007</v>
      </c>
      <c r="F63">
        <v>76.623999999999995</v>
      </c>
      <c r="G63">
        <v>75.67</v>
      </c>
      <c r="H63">
        <v>76.727999999999994</v>
      </c>
      <c r="I63">
        <v>76.844999999999999</v>
      </c>
      <c r="J63">
        <v>76.894000000000005</v>
      </c>
      <c r="K63">
        <v>75.296999999999997</v>
      </c>
      <c r="L63">
        <v>77.177000000000007</v>
      </c>
      <c r="M63">
        <v>77.275999999999996</v>
      </c>
      <c r="N63" t="s">
        <v>432</v>
      </c>
    </row>
    <row r="64" spans="1:14" x14ac:dyDescent="0.25">
      <c r="A64" t="s">
        <v>165</v>
      </c>
      <c r="B64" s="1" t="s">
        <v>136</v>
      </c>
      <c r="C64" t="s">
        <v>299</v>
      </c>
      <c r="D64" s="1" t="s">
        <v>87</v>
      </c>
      <c r="E64">
        <v>731.04980468999997</v>
      </c>
      <c r="F64">
        <v>679.46929932</v>
      </c>
      <c r="G64">
        <v>636.22973633000004</v>
      </c>
      <c r="H64">
        <v>748.69073486000002</v>
      </c>
      <c r="I64">
        <v>678.81982421999999</v>
      </c>
      <c r="J64">
        <v>658.38983154000005</v>
      </c>
      <c r="K64">
        <v>665.87030029000005</v>
      </c>
      <c r="L64">
        <v>648.55499268000005</v>
      </c>
      <c r="M64">
        <v>733.00543213000003</v>
      </c>
      <c r="N64" t="s">
        <v>432</v>
      </c>
    </row>
    <row r="65" spans="1:14" x14ac:dyDescent="0.25">
      <c r="A65" t="s">
        <v>165</v>
      </c>
      <c r="B65" s="1" t="s">
        <v>136</v>
      </c>
      <c r="C65" t="s">
        <v>289</v>
      </c>
      <c r="D65" s="1" t="s">
        <v>185</v>
      </c>
      <c r="E65">
        <v>74.88</v>
      </c>
      <c r="F65">
        <v>74.905000000000001</v>
      </c>
      <c r="G65">
        <v>74.942999999999998</v>
      </c>
      <c r="H65">
        <v>74.992000000000004</v>
      </c>
      <c r="I65">
        <v>75.049000000000007</v>
      </c>
      <c r="J65">
        <v>75.114000000000004</v>
      </c>
      <c r="K65">
        <v>74.869</v>
      </c>
      <c r="L65">
        <v>72.917000000000002</v>
      </c>
      <c r="M65">
        <v>75.326999999999998</v>
      </c>
      <c r="N65" t="s">
        <v>432</v>
      </c>
    </row>
    <row r="66" spans="1:14" x14ac:dyDescent="0.25">
      <c r="A66" t="s">
        <v>65</v>
      </c>
      <c r="B66" s="1" t="s">
        <v>252</v>
      </c>
      <c r="C66" t="s">
        <v>299</v>
      </c>
      <c r="D66" s="1" t="s">
        <v>87</v>
      </c>
      <c r="E66">
        <v>534.21466064000003</v>
      </c>
      <c r="F66">
        <v>579.76715088000003</v>
      </c>
      <c r="G66">
        <v>647.56402588000003</v>
      </c>
      <c r="H66">
        <v>719.78033446999996</v>
      </c>
      <c r="I66">
        <v>733.06878661999997</v>
      </c>
      <c r="J66">
        <v>906.54833984000004</v>
      </c>
      <c r="K66">
        <v>1109.1029052700001</v>
      </c>
      <c r="L66">
        <v>1066.6918945299999</v>
      </c>
      <c r="M66">
        <v>1257.87597656</v>
      </c>
      <c r="N66" t="s">
        <v>432</v>
      </c>
    </row>
    <row r="67" spans="1:14" x14ac:dyDescent="0.25">
      <c r="A67" t="s">
        <v>65</v>
      </c>
      <c r="B67" s="1" t="s">
        <v>252</v>
      </c>
      <c r="C67" t="s">
        <v>289</v>
      </c>
      <c r="D67" s="1" t="s">
        <v>185</v>
      </c>
      <c r="E67">
        <v>74.614634146341473</v>
      </c>
      <c r="F67">
        <v>74.812195121951234</v>
      </c>
      <c r="G67">
        <v>74.814634146341476</v>
      </c>
      <c r="H67">
        <v>74.963414634146361</v>
      </c>
      <c r="I67">
        <v>75.112195121951217</v>
      </c>
      <c r="J67">
        <v>73.356097560975613</v>
      </c>
      <c r="K67">
        <v>71.212195121951225</v>
      </c>
      <c r="L67">
        <v>74.160975609756107</v>
      </c>
      <c r="M67">
        <v>75.707317073170728</v>
      </c>
      <c r="N67" t="s">
        <v>432</v>
      </c>
    </row>
    <row r="68" spans="1:14" x14ac:dyDescent="0.25">
      <c r="A68" t="s">
        <v>211</v>
      </c>
      <c r="B68" s="1" t="s">
        <v>255</v>
      </c>
      <c r="C68" t="s">
        <v>299</v>
      </c>
      <c r="D68" s="1" t="s">
        <v>87</v>
      </c>
      <c r="E68">
        <v>32.337520599999998</v>
      </c>
      <c r="F68">
        <v>39.509906770000001</v>
      </c>
      <c r="G68">
        <v>43.377758030000003</v>
      </c>
      <c r="H68">
        <v>38.485733029999999</v>
      </c>
      <c r="I68">
        <v>41.068958279999997</v>
      </c>
      <c r="J68">
        <v>57.175891880000002</v>
      </c>
      <c r="K68">
        <v>63.591712950000002</v>
      </c>
      <c r="L68">
        <v>64.383399960000006</v>
      </c>
      <c r="M68">
        <v>71.734550479999996</v>
      </c>
      <c r="N68" t="s">
        <v>432</v>
      </c>
    </row>
    <row r="69" spans="1:14" x14ac:dyDescent="0.25">
      <c r="A69" t="s">
        <v>211</v>
      </c>
      <c r="B69" s="1" t="s">
        <v>255</v>
      </c>
      <c r="C69" t="s">
        <v>289</v>
      </c>
      <c r="D69" s="1" t="s">
        <v>185</v>
      </c>
      <c r="E69">
        <v>58.777999999999999</v>
      </c>
      <c r="F69">
        <v>59.173000000000002</v>
      </c>
      <c r="G69">
        <v>59.578000000000003</v>
      </c>
      <c r="H69">
        <v>59.972000000000001</v>
      </c>
      <c r="I69">
        <v>60.183999999999997</v>
      </c>
      <c r="J69">
        <v>60.454000000000001</v>
      </c>
      <c r="K69">
        <v>60.045999999999999</v>
      </c>
      <c r="L69">
        <v>60.7</v>
      </c>
      <c r="M69">
        <v>61.091999999999999</v>
      </c>
      <c r="N69" t="s">
        <v>432</v>
      </c>
    </row>
    <row r="70" spans="1:14" x14ac:dyDescent="0.25">
      <c r="A70" t="s">
        <v>404</v>
      </c>
      <c r="B70" s="1" t="s">
        <v>154</v>
      </c>
      <c r="C70" t="s">
        <v>299</v>
      </c>
      <c r="D70" s="1" t="s">
        <v>87</v>
      </c>
      <c r="E70">
        <v>17.676290510000001</v>
      </c>
      <c r="F70">
        <v>18.59472847</v>
      </c>
      <c r="G70">
        <v>19.166765210000001</v>
      </c>
      <c r="H70">
        <v>18.67819214</v>
      </c>
      <c r="I70">
        <v>22.2435379</v>
      </c>
      <c r="J70">
        <v>26.21934319</v>
      </c>
      <c r="K70">
        <v>23.114200589999999</v>
      </c>
      <c r="L70">
        <v>25.521551129999999</v>
      </c>
      <c r="M70">
        <v>28.14028931</v>
      </c>
      <c r="N70" t="s">
        <v>432</v>
      </c>
    </row>
    <row r="71" spans="1:14" x14ac:dyDescent="0.25">
      <c r="A71" t="s">
        <v>404</v>
      </c>
      <c r="B71" s="1" t="s">
        <v>154</v>
      </c>
      <c r="C71" t="s">
        <v>289</v>
      </c>
      <c r="D71" s="1" t="s">
        <v>185</v>
      </c>
      <c r="E71">
        <v>60.106999999999999</v>
      </c>
      <c r="F71">
        <v>60.789000000000001</v>
      </c>
      <c r="G71">
        <v>61.344999999999999</v>
      </c>
      <c r="H71">
        <v>61.805999999999997</v>
      </c>
      <c r="I71">
        <v>62.18</v>
      </c>
      <c r="J71">
        <v>62.569000000000003</v>
      </c>
      <c r="K71">
        <v>62.100999999999999</v>
      </c>
      <c r="L71">
        <v>62.881999999999998</v>
      </c>
      <c r="M71">
        <v>63.651000000000003</v>
      </c>
      <c r="N71" t="s">
        <v>432</v>
      </c>
    </row>
    <row r="72" spans="1:14" x14ac:dyDescent="0.25">
      <c r="A72" t="s">
        <v>166</v>
      </c>
      <c r="B72" s="1" t="s">
        <v>28</v>
      </c>
      <c r="C72" t="s">
        <v>299</v>
      </c>
      <c r="D72" s="1" t="s">
        <v>87</v>
      </c>
      <c r="E72">
        <v>150.28823853</v>
      </c>
      <c r="F72">
        <v>157.39906310999999</v>
      </c>
      <c r="G72">
        <v>174.43547057999999</v>
      </c>
      <c r="H72">
        <v>205.53454590000001</v>
      </c>
      <c r="I72">
        <v>211.24963378999999</v>
      </c>
      <c r="J72">
        <v>249.71989440999999</v>
      </c>
      <c r="K72">
        <v>262.42272948999999</v>
      </c>
      <c r="L72">
        <v>297.08233643</v>
      </c>
      <c r="M72">
        <v>290.12619018999999</v>
      </c>
      <c r="N72" t="s">
        <v>432</v>
      </c>
    </row>
    <row r="73" spans="1:14" x14ac:dyDescent="0.25">
      <c r="A73" t="s">
        <v>166</v>
      </c>
      <c r="B73" s="1" t="s">
        <v>28</v>
      </c>
      <c r="C73" t="s">
        <v>289</v>
      </c>
      <c r="D73" s="1" t="s">
        <v>185</v>
      </c>
      <c r="E73">
        <v>74.096000000000004</v>
      </c>
      <c r="F73">
        <v>74.349999999999994</v>
      </c>
      <c r="G73">
        <v>74.709999999999994</v>
      </c>
      <c r="H73">
        <v>74.84</v>
      </c>
      <c r="I73">
        <v>75.448999999999998</v>
      </c>
      <c r="J73">
        <v>73.817999999999998</v>
      </c>
      <c r="K73">
        <v>74.424000000000007</v>
      </c>
      <c r="L73">
        <v>75.906999999999996</v>
      </c>
      <c r="M73">
        <v>76.058999999999997</v>
      </c>
      <c r="N73" t="s">
        <v>432</v>
      </c>
    </row>
    <row r="74" spans="1:14" x14ac:dyDescent="0.25">
      <c r="A74" t="s">
        <v>197</v>
      </c>
      <c r="B74" s="1" t="s">
        <v>317</v>
      </c>
      <c r="C74" t="s">
        <v>299</v>
      </c>
      <c r="D74" s="1" t="s">
        <v>87</v>
      </c>
      <c r="E74">
        <v>70.23264313</v>
      </c>
      <c r="F74">
        <v>75.225204469999994</v>
      </c>
      <c r="G74">
        <v>77.973114010000003</v>
      </c>
      <c r="H74">
        <v>91.59080505</v>
      </c>
      <c r="I74">
        <v>112.5851059</v>
      </c>
      <c r="J74">
        <v>106.79976653999999</v>
      </c>
      <c r="K74">
        <v>137.38909912</v>
      </c>
      <c r="L74">
        <v>103.89541626</v>
      </c>
      <c r="M74">
        <v>114.56295776</v>
      </c>
      <c r="N74" t="s">
        <v>432</v>
      </c>
    </row>
    <row r="75" spans="1:14" x14ac:dyDescent="0.25">
      <c r="A75" t="s">
        <v>197</v>
      </c>
      <c r="B75" s="1" t="s">
        <v>317</v>
      </c>
      <c r="C75" t="s">
        <v>289</v>
      </c>
      <c r="D75" s="1" t="s">
        <v>185</v>
      </c>
      <c r="E75">
        <v>69.397999999999996</v>
      </c>
      <c r="F75">
        <v>69.635000000000005</v>
      </c>
      <c r="G75">
        <v>69.841999999999999</v>
      </c>
      <c r="H75">
        <v>69.992999999999995</v>
      </c>
      <c r="I75">
        <v>70.126999999999995</v>
      </c>
      <c r="J75">
        <v>70.058999999999997</v>
      </c>
      <c r="K75">
        <v>69.301000000000002</v>
      </c>
      <c r="L75">
        <v>70.528000000000006</v>
      </c>
      <c r="M75">
        <v>70.668000000000006</v>
      </c>
      <c r="N75" t="s">
        <v>432</v>
      </c>
    </row>
    <row r="76" spans="1:14" x14ac:dyDescent="0.25">
      <c r="A76" t="s">
        <v>70</v>
      </c>
      <c r="B76" s="1" t="s">
        <v>172</v>
      </c>
      <c r="C76" t="s">
        <v>299</v>
      </c>
      <c r="D76" s="1" t="s">
        <v>87</v>
      </c>
      <c r="E76">
        <v>58.382980349999997</v>
      </c>
      <c r="F76">
        <v>57.993724819999997</v>
      </c>
      <c r="G76">
        <v>56.745769500000002</v>
      </c>
      <c r="H76">
        <v>58.329093929999999</v>
      </c>
      <c r="I76">
        <v>56.794937130000001</v>
      </c>
      <c r="J76">
        <v>66.171852110000003</v>
      </c>
      <c r="K76">
        <v>72.597312930000001</v>
      </c>
      <c r="L76">
        <v>72.129508970000003</v>
      </c>
      <c r="M76">
        <v>79.099967960000001</v>
      </c>
      <c r="N76" t="s">
        <v>432</v>
      </c>
    </row>
    <row r="77" spans="1:14" x14ac:dyDescent="0.25">
      <c r="A77" t="s">
        <v>70</v>
      </c>
      <c r="B77" s="1" t="s">
        <v>172</v>
      </c>
      <c r="C77" t="s">
        <v>289</v>
      </c>
      <c r="D77" s="1" t="s">
        <v>185</v>
      </c>
      <c r="E77">
        <v>59.686999999999998</v>
      </c>
      <c r="F77">
        <v>60.292999999999999</v>
      </c>
      <c r="G77">
        <v>60.817</v>
      </c>
      <c r="H77">
        <v>61.189</v>
      </c>
      <c r="I77">
        <v>61.695</v>
      </c>
      <c r="J77">
        <v>61.673999999999999</v>
      </c>
      <c r="K77">
        <v>61.146000000000001</v>
      </c>
      <c r="L77">
        <v>62.442999999999998</v>
      </c>
      <c r="M77">
        <v>63.7</v>
      </c>
      <c r="N77" t="s">
        <v>432</v>
      </c>
    </row>
    <row r="78" spans="1:14" x14ac:dyDescent="0.25">
      <c r="A78" t="s">
        <v>310</v>
      </c>
      <c r="B78" s="1" t="s">
        <v>99</v>
      </c>
      <c r="C78" t="s">
        <v>299</v>
      </c>
      <c r="D78" s="1" t="s">
        <v>87</v>
      </c>
      <c r="E78">
        <v>4658.8378906300004</v>
      </c>
      <c r="F78">
        <v>4647.1489257800004</v>
      </c>
      <c r="G78">
        <v>4894.7734375</v>
      </c>
      <c r="H78">
        <v>5052.9018554699996</v>
      </c>
      <c r="I78">
        <v>5098.8872070300004</v>
      </c>
      <c r="J78">
        <v>5646.1943359400002</v>
      </c>
      <c r="K78">
        <v>6511.4697265599998</v>
      </c>
      <c r="L78">
        <v>6252.3403320300004</v>
      </c>
      <c r="M78">
        <v>6186.65234375</v>
      </c>
      <c r="N78">
        <v>6377.96875</v>
      </c>
    </row>
    <row r="79" spans="1:14" x14ac:dyDescent="0.25">
      <c r="A79" t="s">
        <v>310</v>
      </c>
      <c r="B79" s="1" t="s">
        <v>99</v>
      </c>
      <c r="C79" t="s">
        <v>289</v>
      </c>
      <c r="D79" s="1" t="s">
        <v>185</v>
      </c>
      <c r="E79">
        <v>81.825853658536587</v>
      </c>
      <c r="F79">
        <v>81.940000000000012</v>
      </c>
      <c r="G79">
        <v>81.812926829268292</v>
      </c>
      <c r="H79">
        <v>81.808780487804881</v>
      </c>
      <c r="I79">
        <v>82.163658536585373</v>
      </c>
      <c r="J79">
        <v>81.535121951219509</v>
      </c>
      <c r="K79">
        <v>81.516829268292682</v>
      </c>
      <c r="L79">
        <v>81.245365853658541</v>
      </c>
      <c r="M79">
        <v>81.646585365853653</v>
      </c>
      <c r="N79" t="s">
        <v>432</v>
      </c>
    </row>
    <row r="80" spans="1:14" x14ac:dyDescent="0.25">
      <c r="A80" t="s">
        <v>447</v>
      </c>
      <c r="B80" s="1" t="s">
        <v>448</v>
      </c>
      <c r="C80" t="s">
        <v>299</v>
      </c>
      <c r="D80" s="1" t="s">
        <v>87</v>
      </c>
      <c r="E80">
        <v>752.90479439472654</v>
      </c>
      <c r="F80">
        <v>747.22608612668068</v>
      </c>
      <c r="G80">
        <v>788.58230938543534</v>
      </c>
      <c r="H80">
        <v>790.74804925367425</v>
      </c>
      <c r="I80">
        <v>820.23981221427857</v>
      </c>
      <c r="J80">
        <v>796.15798000899224</v>
      </c>
      <c r="K80">
        <v>851.95301067974719</v>
      </c>
      <c r="L80">
        <v>915.95544871590835</v>
      </c>
      <c r="M80">
        <v>915.84740714029761</v>
      </c>
      <c r="N80" t="s">
        <v>432</v>
      </c>
    </row>
    <row r="81" spans="1:14" x14ac:dyDescent="0.25">
      <c r="A81" t="s">
        <v>447</v>
      </c>
      <c r="B81" s="1" t="s">
        <v>448</v>
      </c>
      <c r="C81" t="s">
        <v>289</v>
      </c>
      <c r="D81" s="1" t="s">
        <v>185</v>
      </c>
      <c r="E81">
        <v>71.864102166547553</v>
      </c>
      <c r="F81">
        <v>72.051636115451188</v>
      </c>
      <c r="G81">
        <v>72.173104159509322</v>
      </c>
      <c r="H81">
        <v>72.221085402270319</v>
      </c>
      <c r="I81">
        <v>72.129260483028418</v>
      </c>
      <c r="J81">
        <v>71.939435930331697</v>
      </c>
      <c r="K81">
        <v>69.922810747176868</v>
      </c>
      <c r="L81">
        <v>72.832292109060745</v>
      </c>
      <c r="M81">
        <v>73.17164500130977</v>
      </c>
      <c r="N81" t="s">
        <v>432</v>
      </c>
    </row>
    <row r="82" spans="1:14" x14ac:dyDescent="0.25">
      <c r="A82" t="s">
        <v>449</v>
      </c>
      <c r="B82" s="1" t="s">
        <v>450</v>
      </c>
      <c r="C82" t="s">
        <v>299</v>
      </c>
      <c r="D82" s="1" t="s">
        <v>87</v>
      </c>
      <c r="E82" t="s">
        <v>432</v>
      </c>
      <c r="F82" t="s">
        <v>432</v>
      </c>
      <c r="G82" t="s">
        <v>432</v>
      </c>
      <c r="H82" t="s">
        <v>432</v>
      </c>
      <c r="I82" t="s">
        <v>432</v>
      </c>
      <c r="J82" t="s">
        <v>432</v>
      </c>
      <c r="K82" t="s">
        <v>432</v>
      </c>
      <c r="L82" t="s">
        <v>432</v>
      </c>
      <c r="M82" t="s">
        <v>432</v>
      </c>
      <c r="N82" t="s">
        <v>432</v>
      </c>
    </row>
    <row r="83" spans="1:14" x14ac:dyDescent="0.25">
      <c r="A83" t="s">
        <v>449</v>
      </c>
      <c r="B83" s="1" t="s">
        <v>450</v>
      </c>
      <c r="C83" t="s">
        <v>289</v>
      </c>
      <c r="D83" s="1" t="s">
        <v>185</v>
      </c>
      <c r="E83">
        <v>78.119</v>
      </c>
      <c r="F83">
        <v>78.367000000000004</v>
      </c>
      <c r="G83">
        <v>78.614999999999995</v>
      </c>
      <c r="H83">
        <v>78.834999999999994</v>
      </c>
      <c r="I83">
        <v>79.052000000000007</v>
      </c>
      <c r="J83">
        <v>79.23</v>
      </c>
      <c r="K83">
        <v>79.3</v>
      </c>
      <c r="L83">
        <v>79.983999999999995</v>
      </c>
      <c r="M83">
        <v>80.358000000000004</v>
      </c>
      <c r="N83" t="s">
        <v>432</v>
      </c>
    </row>
    <row r="84" spans="1:14" x14ac:dyDescent="0.25">
      <c r="A84" t="s">
        <v>67</v>
      </c>
      <c r="B84" s="1" t="s">
        <v>178</v>
      </c>
      <c r="C84" t="s">
        <v>299</v>
      </c>
      <c r="D84" s="1" t="s">
        <v>87</v>
      </c>
      <c r="E84">
        <v>18.441942210000001</v>
      </c>
      <c r="F84">
        <v>21.077960969999999</v>
      </c>
      <c r="G84">
        <v>28.816196439999999</v>
      </c>
      <c r="H84">
        <v>51.354106899999998</v>
      </c>
      <c r="I84">
        <v>35.760990139999997</v>
      </c>
      <c r="J84">
        <v>42.634765629999997</v>
      </c>
      <c r="K84">
        <v>46.250381470000001</v>
      </c>
      <c r="L84">
        <v>47.915233610000001</v>
      </c>
      <c r="M84">
        <v>53.81136703</v>
      </c>
      <c r="N84" t="s">
        <v>432</v>
      </c>
    </row>
    <row r="85" spans="1:14" x14ac:dyDescent="0.25">
      <c r="A85" t="s">
        <v>67</v>
      </c>
      <c r="B85" s="1" t="s">
        <v>178</v>
      </c>
      <c r="C85" t="s">
        <v>289</v>
      </c>
      <c r="D85" s="1" t="s">
        <v>185</v>
      </c>
      <c r="E85">
        <v>51.933999999999997</v>
      </c>
      <c r="F85">
        <v>50.999000000000002</v>
      </c>
      <c r="G85">
        <v>45.231000000000002</v>
      </c>
      <c r="H85">
        <v>52.296999999999997</v>
      </c>
      <c r="I85">
        <v>31.53</v>
      </c>
      <c r="J85">
        <v>50.595999999999997</v>
      </c>
      <c r="K85">
        <v>40.279000000000003</v>
      </c>
      <c r="L85">
        <v>18.818000000000001</v>
      </c>
      <c r="M85">
        <v>57.408000000000001</v>
      </c>
      <c r="N85" t="s">
        <v>432</v>
      </c>
    </row>
    <row r="86" spans="1:14" x14ac:dyDescent="0.25">
      <c r="A86" t="s">
        <v>451</v>
      </c>
      <c r="B86" s="1" t="s">
        <v>452</v>
      </c>
      <c r="C86" t="s">
        <v>299</v>
      </c>
      <c r="D86" s="1" t="s">
        <v>87</v>
      </c>
      <c r="E86">
        <v>817.14210485624312</v>
      </c>
      <c r="F86">
        <v>854.45874263435496</v>
      </c>
      <c r="G86">
        <v>941.30997911141492</v>
      </c>
      <c r="H86">
        <v>1057.7859181411804</v>
      </c>
      <c r="I86">
        <v>1095.4614214138965</v>
      </c>
      <c r="J86">
        <v>1187.6046261447129</v>
      </c>
      <c r="K86">
        <v>1412.782144535026</v>
      </c>
      <c r="L86">
        <v>1374.1600690946045</v>
      </c>
      <c r="M86">
        <v>1626.9674853003912</v>
      </c>
      <c r="N86" t="s">
        <v>432</v>
      </c>
    </row>
    <row r="87" spans="1:14" x14ac:dyDescent="0.25">
      <c r="A87" t="s">
        <v>451</v>
      </c>
      <c r="B87" s="1" t="s">
        <v>452</v>
      </c>
      <c r="C87" t="s">
        <v>289</v>
      </c>
      <c r="D87" s="1" t="s">
        <v>185</v>
      </c>
      <c r="E87">
        <v>76.575511977250386</v>
      </c>
      <c r="F87">
        <v>76.970306230441309</v>
      </c>
      <c r="G87">
        <v>76.929788715596999</v>
      </c>
      <c r="H87">
        <v>76.976438083507517</v>
      </c>
      <c r="I87">
        <v>77.265914193630707</v>
      </c>
      <c r="J87">
        <v>76.016270126914478</v>
      </c>
      <c r="K87">
        <v>74.723282785907699</v>
      </c>
      <c r="L87">
        <v>76.652298729258348</v>
      </c>
      <c r="M87">
        <v>77.896624525641215</v>
      </c>
      <c r="N87" t="s">
        <v>432</v>
      </c>
    </row>
    <row r="88" spans="1:14" x14ac:dyDescent="0.25">
      <c r="A88" t="s">
        <v>14</v>
      </c>
      <c r="B88" s="1" t="s">
        <v>256</v>
      </c>
      <c r="C88" t="s">
        <v>299</v>
      </c>
      <c r="D88" s="1" t="s">
        <v>87</v>
      </c>
      <c r="E88">
        <v>33.820922850000002</v>
      </c>
      <c r="F88">
        <v>31.96038055</v>
      </c>
      <c r="G88">
        <v>29.993589400000001</v>
      </c>
      <c r="H88">
        <v>31.2043705</v>
      </c>
      <c r="I88">
        <v>30.236902239999999</v>
      </c>
      <c r="J88">
        <v>37.730880740000003</v>
      </c>
      <c r="K88">
        <v>37.591567990000001</v>
      </c>
      <c r="L88">
        <v>40.170074460000002</v>
      </c>
      <c r="M88">
        <v>47.438930509999999</v>
      </c>
      <c r="N88" t="s">
        <v>432</v>
      </c>
    </row>
    <row r="89" spans="1:14" x14ac:dyDescent="0.25">
      <c r="A89" t="s">
        <v>14</v>
      </c>
      <c r="B89" s="1" t="s">
        <v>256</v>
      </c>
      <c r="C89" t="s">
        <v>289</v>
      </c>
      <c r="D89" s="1" t="s">
        <v>185</v>
      </c>
      <c r="E89">
        <v>51.32</v>
      </c>
      <c r="F89">
        <v>51.603000000000002</v>
      </c>
      <c r="G89">
        <v>51.875</v>
      </c>
      <c r="H89">
        <v>52.447000000000003</v>
      </c>
      <c r="I89">
        <v>52.993000000000002</v>
      </c>
      <c r="J89">
        <v>53.082000000000001</v>
      </c>
      <c r="K89">
        <v>53.136000000000003</v>
      </c>
      <c r="L89">
        <v>54.527999999999999</v>
      </c>
      <c r="M89">
        <v>55.069000000000003</v>
      </c>
      <c r="N89" t="s">
        <v>432</v>
      </c>
    </row>
    <row r="90" spans="1:14" x14ac:dyDescent="0.25">
      <c r="A90" t="s">
        <v>453</v>
      </c>
      <c r="B90" s="1" t="s">
        <v>454</v>
      </c>
      <c r="C90" t="s">
        <v>299</v>
      </c>
      <c r="D90" s="1" t="s">
        <v>87</v>
      </c>
      <c r="E90" t="s">
        <v>432</v>
      </c>
      <c r="F90" t="s">
        <v>432</v>
      </c>
      <c r="G90" t="s">
        <v>432</v>
      </c>
      <c r="H90" t="s">
        <v>432</v>
      </c>
      <c r="I90" t="s">
        <v>432</v>
      </c>
      <c r="J90" t="s">
        <v>432</v>
      </c>
      <c r="K90" t="s">
        <v>432</v>
      </c>
      <c r="L90" t="s">
        <v>432</v>
      </c>
      <c r="M90" t="s">
        <v>432</v>
      </c>
      <c r="N90" t="s">
        <v>432</v>
      </c>
    </row>
    <row r="91" spans="1:14" x14ac:dyDescent="0.25">
      <c r="A91" t="s">
        <v>453</v>
      </c>
      <c r="B91" s="1" t="s">
        <v>454</v>
      </c>
      <c r="C91" t="s">
        <v>289</v>
      </c>
      <c r="D91" s="1" t="s">
        <v>185</v>
      </c>
      <c r="E91">
        <v>81.400000000000006</v>
      </c>
      <c r="F91">
        <v>81.2</v>
      </c>
      <c r="G91">
        <v>81</v>
      </c>
      <c r="H91">
        <v>81.099999999999994</v>
      </c>
      <c r="I91">
        <v>81.2</v>
      </c>
      <c r="J91">
        <v>80.900000000000006</v>
      </c>
      <c r="K91">
        <v>80.3</v>
      </c>
      <c r="L91">
        <v>81</v>
      </c>
      <c r="M91">
        <v>81.099999999999994</v>
      </c>
      <c r="N91" t="s">
        <v>432</v>
      </c>
    </row>
    <row r="92" spans="1:14" x14ac:dyDescent="0.25">
      <c r="A92" t="s">
        <v>413</v>
      </c>
      <c r="B92" s="1" t="s">
        <v>183</v>
      </c>
      <c r="C92" t="s">
        <v>299</v>
      </c>
      <c r="D92" s="1" t="s">
        <v>87</v>
      </c>
      <c r="E92">
        <v>1122.13378906</v>
      </c>
      <c r="F92">
        <v>1167.8930664100001</v>
      </c>
      <c r="G92">
        <v>1353.6927490200001</v>
      </c>
      <c r="H92">
        <v>1430.7026367200001</v>
      </c>
      <c r="I92">
        <v>1348.99401855</v>
      </c>
      <c r="J92">
        <v>1270.97814941</v>
      </c>
      <c r="K92">
        <v>1576.6928710899999</v>
      </c>
      <c r="L92">
        <v>1541.37927246</v>
      </c>
      <c r="M92">
        <v>1736.5203857399999</v>
      </c>
      <c r="N92">
        <v>1759.70605469</v>
      </c>
    </row>
    <row r="93" spans="1:14" x14ac:dyDescent="0.25">
      <c r="A93" t="s">
        <v>413</v>
      </c>
      <c r="B93" s="1" t="s">
        <v>183</v>
      </c>
      <c r="C93" t="s">
        <v>289</v>
      </c>
      <c r="D93" s="1" t="s">
        <v>185</v>
      </c>
      <c r="E93">
        <v>80.007999999999996</v>
      </c>
      <c r="F93">
        <v>80.295000000000002</v>
      </c>
      <c r="G93">
        <v>80.61</v>
      </c>
      <c r="H93">
        <v>80.558999999999997</v>
      </c>
      <c r="I93">
        <v>80.323999999999998</v>
      </c>
      <c r="J93">
        <v>79.349000000000004</v>
      </c>
      <c r="K93">
        <v>78.876000000000005</v>
      </c>
      <c r="L93">
        <v>79.176000000000002</v>
      </c>
      <c r="M93">
        <v>81.167000000000002</v>
      </c>
      <c r="N93" t="s">
        <v>432</v>
      </c>
    </row>
    <row r="94" spans="1:14" x14ac:dyDescent="0.25">
      <c r="A94" t="s">
        <v>273</v>
      </c>
      <c r="B94" s="1" t="s">
        <v>135</v>
      </c>
      <c r="C94" t="s">
        <v>299</v>
      </c>
      <c r="D94" s="1" t="s">
        <v>87</v>
      </c>
      <c r="E94">
        <v>393.09768677</v>
      </c>
      <c r="F94">
        <v>398.17489624000001</v>
      </c>
      <c r="G94">
        <v>439.94006347999999</v>
      </c>
      <c r="H94">
        <v>504.10980224999997</v>
      </c>
      <c r="I94">
        <v>538.99157715000001</v>
      </c>
      <c r="J94">
        <v>582.95092772999999</v>
      </c>
      <c r="K94">
        <v>670.25897216999999</v>
      </c>
      <c r="L94">
        <v>755.43597411999997</v>
      </c>
      <c r="M94">
        <v>763.37762451000003</v>
      </c>
      <c r="N94" t="s">
        <v>432</v>
      </c>
    </row>
    <row r="95" spans="1:14" x14ac:dyDescent="0.25">
      <c r="A95" t="s">
        <v>273</v>
      </c>
      <c r="B95" s="1" t="s">
        <v>135</v>
      </c>
      <c r="C95" t="s">
        <v>289</v>
      </c>
      <c r="D95" s="1" t="s">
        <v>185</v>
      </c>
      <c r="E95">
        <v>76.974999999999994</v>
      </c>
      <c r="F95">
        <v>77.213999999999999</v>
      </c>
      <c r="G95">
        <v>77.234999999999999</v>
      </c>
      <c r="H95">
        <v>77.709000000000003</v>
      </c>
      <c r="I95">
        <v>77.94</v>
      </c>
      <c r="J95">
        <v>78.019000000000005</v>
      </c>
      <c r="K95">
        <v>78.117000000000004</v>
      </c>
      <c r="L95">
        <v>78.201999999999998</v>
      </c>
      <c r="M95">
        <v>77.953000000000003</v>
      </c>
      <c r="N95" t="s">
        <v>432</v>
      </c>
    </row>
    <row r="96" spans="1:14" x14ac:dyDescent="0.25">
      <c r="A96" t="s">
        <v>332</v>
      </c>
      <c r="B96" s="1" t="s">
        <v>223</v>
      </c>
      <c r="C96" t="s">
        <v>299</v>
      </c>
      <c r="D96" s="1" t="s">
        <v>87</v>
      </c>
      <c r="E96">
        <v>470.09982300000001</v>
      </c>
      <c r="F96">
        <v>448.84588623000002</v>
      </c>
      <c r="G96">
        <v>497.54016113</v>
      </c>
      <c r="H96">
        <v>526.11828613</v>
      </c>
      <c r="I96">
        <v>507.06231688999998</v>
      </c>
      <c r="J96">
        <v>464.41998290999999</v>
      </c>
      <c r="K96">
        <v>568.84130859000004</v>
      </c>
      <c r="L96">
        <v>507.07064818999999</v>
      </c>
      <c r="M96">
        <v>571.15496826000003</v>
      </c>
      <c r="N96">
        <v>644.30908203000001</v>
      </c>
    </row>
    <row r="97" spans="1:14" x14ac:dyDescent="0.25">
      <c r="A97" t="s">
        <v>332</v>
      </c>
      <c r="B97" s="1" t="s">
        <v>223</v>
      </c>
      <c r="C97" t="s">
        <v>289</v>
      </c>
      <c r="D97" s="1" t="s">
        <v>185</v>
      </c>
      <c r="E97">
        <v>76.066999999999993</v>
      </c>
      <c r="F97">
        <v>76.227999999999994</v>
      </c>
      <c r="G97">
        <v>76.418000000000006</v>
      </c>
      <c r="H97">
        <v>76.578999999999994</v>
      </c>
      <c r="I97">
        <v>76.793000000000006</v>
      </c>
      <c r="J97">
        <v>74.757000000000005</v>
      </c>
      <c r="K97">
        <v>72.697999999999993</v>
      </c>
      <c r="L97">
        <v>76.507999999999996</v>
      </c>
      <c r="M97">
        <v>77.724999999999994</v>
      </c>
      <c r="N97" t="s">
        <v>432</v>
      </c>
    </row>
    <row r="98" spans="1:14" x14ac:dyDescent="0.25">
      <c r="A98" t="s">
        <v>388</v>
      </c>
      <c r="B98" s="1" t="s">
        <v>112</v>
      </c>
      <c r="C98" t="s">
        <v>299</v>
      </c>
      <c r="D98" s="1" t="s">
        <v>87</v>
      </c>
      <c r="E98">
        <v>61.16300201</v>
      </c>
      <c r="F98">
        <v>63.530994419999999</v>
      </c>
      <c r="G98">
        <v>75.013374330000005</v>
      </c>
      <c r="H98">
        <v>74.891525270000002</v>
      </c>
      <c r="I98">
        <v>78.236747739999998</v>
      </c>
      <c r="J98">
        <v>89.678176879999995</v>
      </c>
      <c r="K98">
        <v>100.50016785</v>
      </c>
      <c r="L98">
        <v>124.14363861</v>
      </c>
      <c r="M98">
        <v>102.23101807</v>
      </c>
      <c r="N98" t="s">
        <v>432</v>
      </c>
    </row>
    <row r="99" spans="1:14" x14ac:dyDescent="0.25">
      <c r="A99" t="s">
        <v>388</v>
      </c>
      <c r="B99" s="1" t="s">
        <v>112</v>
      </c>
      <c r="C99" t="s">
        <v>289</v>
      </c>
      <c r="D99" s="1" t="s">
        <v>185</v>
      </c>
      <c r="E99">
        <v>64.472999999999999</v>
      </c>
      <c r="F99">
        <v>64.792000000000002</v>
      </c>
      <c r="G99">
        <v>65.126999999999995</v>
      </c>
      <c r="H99">
        <v>65.400999999999996</v>
      </c>
      <c r="I99">
        <v>65.662000000000006</v>
      </c>
      <c r="J99">
        <v>65.756</v>
      </c>
      <c r="K99">
        <v>65.200999999999993</v>
      </c>
      <c r="L99">
        <v>66.480999999999995</v>
      </c>
      <c r="M99">
        <v>66.777000000000001</v>
      </c>
      <c r="N99" t="s">
        <v>432</v>
      </c>
    </row>
    <row r="100" spans="1:14" x14ac:dyDescent="0.25">
      <c r="A100" t="s">
        <v>163</v>
      </c>
      <c r="B100" s="1" t="s">
        <v>308</v>
      </c>
      <c r="C100" t="s">
        <v>299</v>
      </c>
      <c r="D100" s="1" t="s">
        <v>87</v>
      </c>
      <c r="E100">
        <v>18.57252884</v>
      </c>
      <c r="F100">
        <v>19.311410899999998</v>
      </c>
      <c r="G100">
        <v>18.146488189999999</v>
      </c>
      <c r="H100">
        <v>17.29077148</v>
      </c>
      <c r="I100">
        <v>19.208120350000002</v>
      </c>
      <c r="J100">
        <v>20.559307100000002</v>
      </c>
      <c r="K100">
        <v>21.588485720000001</v>
      </c>
      <c r="L100">
        <v>24.380010599999999</v>
      </c>
      <c r="M100">
        <v>23.431488040000001</v>
      </c>
      <c r="N100" t="s">
        <v>432</v>
      </c>
    </row>
    <row r="101" spans="1:14" x14ac:dyDescent="0.25">
      <c r="A101" t="s">
        <v>163</v>
      </c>
      <c r="B101" s="1" t="s">
        <v>308</v>
      </c>
      <c r="C101" t="s">
        <v>289</v>
      </c>
      <c r="D101" s="1" t="s">
        <v>185</v>
      </c>
      <c r="E101">
        <v>58.658000000000001</v>
      </c>
      <c r="F101">
        <v>59.081000000000003</v>
      </c>
      <c r="G101">
        <v>59.494999999999997</v>
      </c>
      <c r="H101">
        <v>59.926000000000002</v>
      </c>
      <c r="I101">
        <v>60.241999999999997</v>
      </c>
      <c r="J101">
        <v>60.427999999999997</v>
      </c>
      <c r="K101">
        <v>60.043999999999997</v>
      </c>
      <c r="L101">
        <v>60.978999999999999</v>
      </c>
      <c r="M101">
        <v>61.895000000000003</v>
      </c>
      <c r="N101" t="s">
        <v>432</v>
      </c>
    </row>
    <row r="102" spans="1:14" x14ac:dyDescent="0.25">
      <c r="A102" t="s">
        <v>115</v>
      </c>
      <c r="B102" s="1" t="s">
        <v>405</v>
      </c>
      <c r="C102" t="s">
        <v>299</v>
      </c>
      <c r="D102" s="1" t="s">
        <v>87</v>
      </c>
      <c r="E102">
        <v>57.302906040000003</v>
      </c>
      <c r="F102">
        <v>54.300014500000003</v>
      </c>
      <c r="G102">
        <v>52.299823760000002</v>
      </c>
      <c r="H102">
        <v>47.310214999999999</v>
      </c>
      <c r="I102">
        <v>58.421066279999998</v>
      </c>
      <c r="J102">
        <v>80.097351070000002</v>
      </c>
      <c r="K102">
        <v>78.601493840000003</v>
      </c>
      <c r="L102">
        <v>53.118923189999997</v>
      </c>
      <c r="M102">
        <v>75.553321839999995</v>
      </c>
      <c r="N102" t="s">
        <v>432</v>
      </c>
    </row>
    <row r="103" spans="1:14" x14ac:dyDescent="0.25">
      <c r="A103" t="s">
        <v>115</v>
      </c>
      <c r="B103" s="1" t="s">
        <v>405</v>
      </c>
      <c r="C103" t="s">
        <v>289</v>
      </c>
      <c r="D103" s="1" t="s">
        <v>185</v>
      </c>
      <c r="E103">
        <v>63.661999999999999</v>
      </c>
      <c r="F103">
        <v>63.911000000000001</v>
      </c>
      <c r="G103">
        <v>64.203000000000003</v>
      </c>
      <c r="H103">
        <v>64.471999999999994</v>
      </c>
      <c r="I103">
        <v>63.152000000000001</v>
      </c>
      <c r="J103">
        <v>64.391000000000005</v>
      </c>
      <c r="K103">
        <v>64.191999999999993</v>
      </c>
      <c r="L103">
        <v>65</v>
      </c>
      <c r="M103">
        <v>65.772000000000006</v>
      </c>
      <c r="N103" t="s">
        <v>432</v>
      </c>
    </row>
    <row r="104" spans="1:14" x14ac:dyDescent="0.25">
      <c r="A104" t="s">
        <v>250</v>
      </c>
      <c r="B104" s="1" t="s">
        <v>46</v>
      </c>
      <c r="C104" t="s">
        <v>299</v>
      </c>
      <c r="D104" s="1" t="s">
        <v>87</v>
      </c>
      <c r="E104">
        <v>889.37622069999998</v>
      </c>
      <c r="F104">
        <v>884.73028564000003</v>
      </c>
      <c r="G104">
        <v>867.76733397999999</v>
      </c>
      <c r="H104">
        <v>917.31018066000001</v>
      </c>
      <c r="I104">
        <v>930.43511963000003</v>
      </c>
      <c r="J104">
        <v>969.89099121000004</v>
      </c>
      <c r="K104">
        <v>977.14831543000003</v>
      </c>
      <c r="L104">
        <v>978.84155272999999</v>
      </c>
      <c r="M104">
        <v>1163.3022460899999</v>
      </c>
      <c r="N104" t="s">
        <v>432</v>
      </c>
    </row>
    <row r="105" spans="1:14" x14ac:dyDescent="0.25">
      <c r="A105" t="s">
        <v>250</v>
      </c>
      <c r="B105" s="1" t="s">
        <v>46</v>
      </c>
      <c r="C105" t="s">
        <v>289</v>
      </c>
      <c r="D105" s="1" t="s">
        <v>185</v>
      </c>
      <c r="E105">
        <v>80.406999999999996</v>
      </c>
      <c r="F105">
        <v>79.988</v>
      </c>
      <c r="G105">
        <v>79.994</v>
      </c>
      <c r="H105">
        <v>80.09</v>
      </c>
      <c r="I105">
        <v>80.296000000000006</v>
      </c>
      <c r="J105">
        <v>79.724999999999994</v>
      </c>
      <c r="K105">
        <v>78.05</v>
      </c>
      <c r="L105">
        <v>79.316000000000003</v>
      </c>
      <c r="M105">
        <v>80.799000000000007</v>
      </c>
      <c r="N105" t="s">
        <v>432</v>
      </c>
    </row>
    <row r="106" spans="1:14" x14ac:dyDescent="0.25">
      <c r="A106" t="s">
        <v>150</v>
      </c>
      <c r="B106" s="1" t="s">
        <v>152</v>
      </c>
      <c r="C106" t="s">
        <v>299</v>
      </c>
      <c r="D106" s="1" t="s">
        <v>87</v>
      </c>
      <c r="E106">
        <v>58.431819920000002</v>
      </c>
      <c r="F106">
        <v>61.85705566</v>
      </c>
      <c r="G106">
        <v>63.779430390000002</v>
      </c>
      <c r="H106">
        <v>65.879524230000001</v>
      </c>
      <c r="I106">
        <v>68.304710389999997</v>
      </c>
      <c r="J106">
        <v>78.97766876</v>
      </c>
      <c r="K106">
        <v>92.395889280000006</v>
      </c>
      <c r="L106">
        <v>84.899154659999994</v>
      </c>
      <c r="M106">
        <v>87.681053160000005</v>
      </c>
      <c r="N106" t="s">
        <v>432</v>
      </c>
    </row>
    <row r="107" spans="1:14" x14ac:dyDescent="0.25">
      <c r="A107" t="s">
        <v>150</v>
      </c>
      <c r="B107" s="1" t="s">
        <v>152</v>
      </c>
      <c r="C107" t="s">
        <v>289</v>
      </c>
      <c r="D107" s="1" t="s">
        <v>185</v>
      </c>
      <c r="E107">
        <v>58.280999999999999</v>
      </c>
      <c r="F107">
        <v>58.814</v>
      </c>
      <c r="G107">
        <v>59.314999999999998</v>
      </c>
      <c r="H107">
        <v>59.795000000000002</v>
      </c>
      <c r="I107">
        <v>60.274000000000001</v>
      </c>
      <c r="J107">
        <v>60.14</v>
      </c>
      <c r="K107">
        <v>60.29</v>
      </c>
      <c r="L107">
        <v>61.561999999999998</v>
      </c>
      <c r="M107">
        <v>61.944000000000003</v>
      </c>
      <c r="N107" t="s">
        <v>432</v>
      </c>
    </row>
    <row r="108" spans="1:14" x14ac:dyDescent="0.25">
      <c r="A108" t="s">
        <v>406</v>
      </c>
      <c r="B108" s="1" t="s">
        <v>6</v>
      </c>
      <c r="C108" t="s">
        <v>299</v>
      </c>
      <c r="D108" s="1" t="s">
        <v>87</v>
      </c>
      <c r="E108">
        <v>803.41619873000002</v>
      </c>
      <c r="F108">
        <v>851.92492675999995</v>
      </c>
      <c r="G108">
        <v>919.22418213000003</v>
      </c>
      <c r="H108">
        <v>1045.14904785</v>
      </c>
      <c r="I108">
        <v>1063.5444335899999</v>
      </c>
      <c r="J108">
        <v>1123.3796386700001</v>
      </c>
      <c r="K108">
        <v>1423.5290527300001</v>
      </c>
      <c r="L108">
        <v>1328.80371094</v>
      </c>
      <c r="M108">
        <v>1548.3395996100001</v>
      </c>
      <c r="N108" t="s">
        <v>432</v>
      </c>
    </row>
    <row r="109" spans="1:14" x14ac:dyDescent="0.25">
      <c r="A109" t="s">
        <v>406</v>
      </c>
      <c r="B109" s="1" t="s">
        <v>6</v>
      </c>
      <c r="C109" t="s">
        <v>289</v>
      </c>
      <c r="D109" s="1" t="s">
        <v>185</v>
      </c>
      <c r="E109">
        <v>77.27560975609758</v>
      </c>
      <c r="F109">
        <v>77.921951219512209</v>
      </c>
      <c r="G109">
        <v>77.72682926829269</v>
      </c>
      <c r="H109">
        <v>77.919512195121968</v>
      </c>
      <c r="I109">
        <v>78.224390243902448</v>
      </c>
      <c r="J109">
        <v>77.524390243902445</v>
      </c>
      <c r="K109">
        <v>76.424390243902451</v>
      </c>
      <c r="L109">
        <v>77.575609756097563</v>
      </c>
      <c r="M109">
        <v>78.473170731707327</v>
      </c>
      <c r="N109" t="s">
        <v>432</v>
      </c>
    </row>
    <row r="110" spans="1:14" x14ac:dyDescent="0.25">
      <c r="A110" t="s">
        <v>120</v>
      </c>
      <c r="B110" s="1" t="s">
        <v>297</v>
      </c>
      <c r="C110" t="s">
        <v>299</v>
      </c>
      <c r="D110" s="1" t="s">
        <v>87</v>
      </c>
      <c r="E110">
        <v>991.08496093999997</v>
      </c>
      <c r="F110">
        <v>990.92346191000001</v>
      </c>
      <c r="G110">
        <v>987.81030272999999</v>
      </c>
      <c r="H110">
        <v>981.90283203000001</v>
      </c>
      <c r="I110">
        <v>1023.39715576</v>
      </c>
      <c r="J110">
        <v>1199.3532714800001</v>
      </c>
      <c r="K110" t="s">
        <v>432</v>
      </c>
      <c r="L110" t="s">
        <v>432</v>
      </c>
      <c r="M110" t="s">
        <v>432</v>
      </c>
      <c r="N110" t="s">
        <v>432</v>
      </c>
    </row>
    <row r="111" spans="1:14" x14ac:dyDescent="0.25">
      <c r="A111" t="s">
        <v>120</v>
      </c>
      <c r="B111" s="1" t="s">
        <v>297</v>
      </c>
      <c r="C111" t="s">
        <v>289</v>
      </c>
      <c r="D111" s="1" t="s">
        <v>185</v>
      </c>
      <c r="E111">
        <v>77.745000000000005</v>
      </c>
      <c r="F111">
        <v>77.570999999999998</v>
      </c>
      <c r="G111">
        <v>77.3</v>
      </c>
      <c r="H111">
        <v>77.426000000000002</v>
      </c>
      <c r="I111">
        <v>77.412999999999997</v>
      </c>
      <c r="J111">
        <v>77.406999999999996</v>
      </c>
      <c r="K111">
        <v>73.200999999999993</v>
      </c>
      <c r="L111">
        <v>77.629000000000005</v>
      </c>
      <c r="M111">
        <v>78.084999999999994</v>
      </c>
      <c r="N111" t="s">
        <v>432</v>
      </c>
    </row>
    <row r="112" spans="1:14" x14ac:dyDescent="0.25">
      <c r="A112" t="s">
        <v>455</v>
      </c>
      <c r="B112" s="1" t="s">
        <v>456</v>
      </c>
      <c r="C112" t="s">
        <v>299</v>
      </c>
      <c r="D112" s="1" t="s">
        <v>87</v>
      </c>
      <c r="E112" t="s">
        <v>432</v>
      </c>
      <c r="F112" t="s">
        <v>432</v>
      </c>
      <c r="G112" t="s">
        <v>432</v>
      </c>
      <c r="H112" t="s">
        <v>432</v>
      </c>
      <c r="I112" t="s">
        <v>432</v>
      </c>
      <c r="J112" t="s">
        <v>432</v>
      </c>
      <c r="K112" t="s">
        <v>432</v>
      </c>
      <c r="L112" t="s">
        <v>432</v>
      </c>
      <c r="M112" t="s">
        <v>432</v>
      </c>
      <c r="N112" t="s">
        <v>432</v>
      </c>
    </row>
    <row r="113" spans="1:14" x14ac:dyDescent="0.25">
      <c r="A113" t="s">
        <v>455</v>
      </c>
      <c r="B113" s="1" t="s">
        <v>456</v>
      </c>
      <c r="C113" t="s">
        <v>289</v>
      </c>
      <c r="D113" s="1" t="s">
        <v>185</v>
      </c>
      <c r="E113">
        <v>76.481999999999999</v>
      </c>
      <c r="F113">
        <v>76.322000000000003</v>
      </c>
      <c r="G113">
        <v>76.423000000000002</v>
      </c>
      <c r="H113">
        <v>76.492999999999995</v>
      </c>
      <c r="I113">
        <v>76.492000000000004</v>
      </c>
      <c r="J113">
        <v>76.501000000000005</v>
      </c>
      <c r="K113">
        <v>75.686000000000007</v>
      </c>
      <c r="L113">
        <v>76.728999999999999</v>
      </c>
      <c r="M113">
        <v>76.8</v>
      </c>
      <c r="N113" t="s">
        <v>432</v>
      </c>
    </row>
    <row r="114" spans="1:14" x14ac:dyDescent="0.25">
      <c r="A114" t="s">
        <v>151</v>
      </c>
      <c r="B114" s="1" t="s">
        <v>380</v>
      </c>
      <c r="C114" t="s">
        <v>299</v>
      </c>
      <c r="D114" s="1" t="s">
        <v>87</v>
      </c>
      <c r="E114">
        <v>1570.5463867200001</v>
      </c>
      <c r="F114">
        <v>1619.91918945</v>
      </c>
      <c r="G114">
        <v>1742.6762695299999</v>
      </c>
      <c r="H114">
        <v>1987.69470215</v>
      </c>
      <c r="I114">
        <v>2059.4501953099998</v>
      </c>
      <c r="J114">
        <v>2443.3720703099998</v>
      </c>
      <c r="K114">
        <v>2947.8149414099998</v>
      </c>
      <c r="L114">
        <v>2748.6159668</v>
      </c>
      <c r="M114">
        <v>2899.3649902299999</v>
      </c>
      <c r="N114" t="s">
        <v>432</v>
      </c>
    </row>
    <row r="115" spans="1:14" x14ac:dyDescent="0.25">
      <c r="A115" t="s">
        <v>151</v>
      </c>
      <c r="B115" s="1" t="s">
        <v>380</v>
      </c>
      <c r="C115" t="s">
        <v>289</v>
      </c>
      <c r="D115" s="1" t="s">
        <v>185</v>
      </c>
      <c r="E115">
        <v>81.463999999999999</v>
      </c>
      <c r="F115">
        <v>81.534000000000006</v>
      </c>
      <c r="G115">
        <v>81.543000000000006</v>
      </c>
      <c r="H115">
        <v>81.555999999999997</v>
      </c>
      <c r="I115">
        <v>81.453999999999994</v>
      </c>
      <c r="J115">
        <v>81.23</v>
      </c>
      <c r="K115">
        <v>80.572999999999993</v>
      </c>
      <c r="L115">
        <v>80.433999999999997</v>
      </c>
      <c r="M115">
        <v>81.647999999999996</v>
      </c>
      <c r="N115" t="s">
        <v>432</v>
      </c>
    </row>
    <row r="116" spans="1:14" x14ac:dyDescent="0.25">
      <c r="A116" t="s">
        <v>209</v>
      </c>
      <c r="B116" s="1" t="s">
        <v>272</v>
      </c>
      <c r="C116" t="s">
        <v>299</v>
      </c>
      <c r="D116" s="1" t="s">
        <v>87</v>
      </c>
      <c r="E116">
        <v>1308.8013916</v>
      </c>
      <c r="F116">
        <v>1374.9005127</v>
      </c>
      <c r="G116">
        <v>1516.7501220700001</v>
      </c>
      <c r="H116">
        <v>1750.81188965</v>
      </c>
      <c r="I116">
        <v>1805.4403076200001</v>
      </c>
      <c r="J116">
        <v>2106.2802734400002</v>
      </c>
      <c r="K116">
        <v>2538.0334472700001</v>
      </c>
      <c r="L116">
        <v>2431.0849609400002</v>
      </c>
      <c r="M116">
        <v>2671.0839843799999</v>
      </c>
      <c r="N116">
        <v>2692.7641601599998</v>
      </c>
    </row>
    <row r="117" spans="1:14" x14ac:dyDescent="0.25">
      <c r="A117" t="s">
        <v>209</v>
      </c>
      <c r="B117" s="1" t="s">
        <v>272</v>
      </c>
      <c r="C117" t="s">
        <v>289</v>
      </c>
      <c r="D117" s="1" t="s">
        <v>185</v>
      </c>
      <c r="E117">
        <v>78.578048780487805</v>
      </c>
      <c r="F117">
        <v>79.026829268292687</v>
      </c>
      <c r="G117">
        <v>78.978048780487811</v>
      </c>
      <c r="H117">
        <v>79.029268292682929</v>
      </c>
      <c r="I117">
        <v>79.229268292682946</v>
      </c>
      <c r="J117">
        <v>78.22682926829269</v>
      </c>
      <c r="K117">
        <v>77.221951219512206</v>
      </c>
      <c r="L117">
        <v>78.929268292682934</v>
      </c>
      <c r="M117">
        <v>79.878048780487816</v>
      </c>
      <c r="N117" t="s">
        <v>432</v>
      </c>
    </row>
    <row r="118" spans="1:14" x14ac:dyDescent="0.25">
      <c r="A118" t="s">
        <v>279</v>
      </c>
      <c r="B118" s="1" t="s">
        <v>212</v>
      </c>
      <c r="C118" t="s">
        <v>299</v>
      </c>
      <c r="D118" s="1" t="s">
        <v>87</v>
      </c>
      <c r="E118">
        <v>5508.5336914099998</v>
      </c>
      <c r="F118">
        <v>5603.7583007800004</v>
      </c>
      <c r="G118">
        <v>5817.4252929699996</v>
      </c>
      <c r="H118">
        <v>6219.1298828099998</v>
      </c>
      <c r="I118">
        <v>6049.9340820300004</v>
      </c>
      <c r="J118">
        <v>6520.6577148400002</v>
      </c>
      <c r="K118">
        <v>7429.9902343800004</v>
      </c>
      <c r="L118">
        <v>6451.1943359400002</v>
      </c>
      <c r="M118">
        <v>6510.625</v>
      </c>
      <c r="N118">
        <v>6745.0615234400002</v>
      </c>
    </row>
    <row r="119" spans="1:14" x14ac:dyDescent="0.25">
      <c r="A119" t="s">
        <v>279</v>
      </c>
      <c r="B119" s="1" t="s">
        <v>212</v>
      </c>
      <c r="C119" t="s">
        <v>289</v>
      </c>
      <c r="D119" s="1" t="s">
        <v>185</v>
      </c>
      <c r="E119">
        <v>80.702439024390245</v>
      </c>
      <c r="F119">
        <v>80.853658536585371</v>
      </c>
      <c r="G119">
        <v>81.10243902439025</v>
      </c>
      <c r="H119">
        <v>80.953658536585365</v>
      </c>
      <c r="I119">
        <v>81.451219512195138</v>
      </c>
      <c r="J119">
        <v>81.60243902439025</v>
      </c>
      <c r="K119">
        <v>81.404878048780489</v>
      </c>
      <c r="L119">
        <v>81.304878048780495</v>
      </c>
      <c r="M119">
        <v>81.853658536585385</v>
      </c>
      <c r="N119" t="s">
        <v>432</v>
      </c>
    </row>
    <row r="120" spans="1:14" x14ac:dyDescent="0.25">
      <c r="A120" t="s">
        <v>161</v>
      </c>
      <c r="B120" s="1" t="s">
        <v>231</v>
      </c>
      <c r="C120" t="s">
        <v>299</v>
      </c>
      <c r="D120" s="1" t="s">
        <v>87</v>
      </c>
      <c r="E120">
        <v>79.542579649999993</v>
      </c>
      <c r="F120">
        <v>68.827453610000006</v>
      </c>
      <c r="G120">
        <v>64.943969730000006</v>
      </c>
      <c r="H120">
        <v>68.791015630000004</v>
      </c>
      <c r="I120">
        <v>68.474487300000007</v>
      </c>
      <c r="J120">
        <v>66.530868530000006</v>
      </c>
      <c r="K120">
        <v>86.88237762</v>
      </c>
      <c r="L120">
        <v>79.131843570000001</v>
      </c>
      <c r="M120">
        <v>77.570877080000002</v>
      </c>
      <c r="N120" t="s">
        <v>432</v>
      </c>
    </row>
    <row r="121" spans="1:14" x14ac:dyDescent="0.25">
      <c r="A121" t="s">
        <v>161</v>
      </c>
      <c r="B121" s="1" t="s">
        <v>231</v>
      </c>
      <c r="C121" t="s">
        <v>289</v>
      </c>
      <c r="D121" s="1" t="s">
        <v>185</v>
      </c>
      <c r="E121">
        <v>62.832999999999998</v>
      </c>
      <c r="F121">
        <v>63.335000000000001</v>
      </c>
      <c r="G121">
        <v>63.71</v>
      </c>
      <c r="H121">
        <v>64.105000000000004</v>
      </c>
      <c r="I121">
        <v>64.381</v>
      </c>
      <c r="J121">
        <v>64.2</v>
      </c>
      <c r="K121">
        <v>63.83</v>
      </c>
      <c r="L121">
        <v>65.540000000000006</v>
      </c>
      <c r="M121">
        <v>65.986999999999995</v>
      </c>
      <c r="N121" t="s">
        <v>432</v>
      </c>
    </row>
    <row r="122" spans="1:14" x14ac:dyDescent="0.25">
      <c r="A122" t="s">
        <v>86</v>
      </c>
      <c r="B122" s="1" t="s">
        <v>401</v>
      </c>
      <c r="C122" t="s">
        <v>299</v>
      </c>
      <c r="D122" s="1" t="s">
        <v>87</v>
      </c>
      <c r="E122">
        <v>396.23742676000001</v>
      </c>
      <c r="F122">
        <v>424.15756226000002</v>
      </c>
      <c r="G122">
        <v>415.87072754000002</v>
      </c>
      <c r="H122">
        <v>503.34179688</v>
      </c>
      <c r="I122">
        <v>465.63766478999997</v>
      </c>
      <c r="J122">
        <v>452.65899658000001</v>
      </c>
      <c r="K122">
        <v>521.41455078000001</v>
      </c>
      <c r="L122">
        <v>542.53948975000003</v>
      </c>
      <c r="M122">
        <v>492.45242309999998</v>
      </c>
      <c r="N122" t="s">
        <v>432</v>
      </c>
    </row>
    <row r="123" spans="1:14" x14ac:dyDescent="0.25">
      <c r="A123" t="s">
        <v>86</v>
      </c>
      <c r="B123" s="1" t="s">
        <v>401</v>
      </c>
      <c r="C123" t="s">
        <v>289</v>
      </c>
      <c r="D123" s="1" t="s">
        <v>185</v>
      </c>
      <c r="E123">
        <v>69.968000000000004</v>
      </c>
      <c r="F123">
        <v>71.188999999999993</v>
      </c>
      <c r="G123">
        <v>68.62</v>
      </c>
      <c r="H123">
        <v>71.378</v>
      </c>
      <c r="I123">
        <v>71.305000000000007</v>
      </c>
      <c r="J123">
        <v>71.269000000000005</v>
      </c>
      <c r="K123">
        <v>69.831999999999994</v>
      </c>
      <c r="L123">
        <v>71.081000000000003</v>
      </c>
      <c r="M123">
        <v>71.132000000000005</v>
      </c>
      <c r="N123" t="s">
        <v>432</v>
      </c>
    </row>
    <row r="124" spans="1:14" x14ac:dyDescent="0.25">
      <c r="A124" t="s">
        <v>168</v>
      </c>
      <c r="B124" s="1" t="s">
        <v>91</v>
      </c>
      <c r="C124" t="s">
        <v>299</v>
      </c>
      <c r="D124" s="1" t="s">
        <v>87</v>
      </c>
      <c r="E124">
        <v>322.04864501999998</v>
      </c>
      <c r="F124">
        <v>328.36526488999999</v>
      </c>
      <c r="G124">
        <v>329.54168700999998</v>
      </c>
      <c r="H124">
        <v>332.47702026000002</v>
      </c>
      <c r="I124">
        <v>357.44137573</v>
      </c>
      <c r="J124">
        <v>354.25689697000001</v>
      </c>
      <c r="K124">
        <v>433.89172363</v>
      </c>
      <c r="L124">
        <v>469.34915160999998</v>
      </c>
      <c r="M124">
        <v>488.87274170000001</v>
      </c>
      <c r="N124" t="s">
        <v>432</v>
      </c>
    </row>
    <row r="125" spans="1:14" x14ac:dyDescent="0.25">
      <c r="A125" t="s">
        <v>168</v>
      </c>
      <c r="B125" s="1" t="s">
        <v>91</v>
      </c>
      <c r="C125" t="s">
        <v>289</v>
      </c>
      <c r="D125" s="1" t="s">
        <v>185</v>
      </c>
      <c r="E125">
        <v>72.981999999999999</v>
      </c>
      <c r="F125">
        <v>72.888999999999996</v>
      </c>
      <c r="G125">
        <v>73.37</v>
      </c>
      <c r="H125">
        <v>73.555000000000007</v>
      </c>
      <c r="I125">
        <v>73.111999999999995</v>
      </c>
      <c r="J125">
        <v>72.635999999999996</v>
      </c>
      <c r="K125">
        <v>71.757000000000005</v>
      </c>
      <c r="L125">
        <v>74.210999999999999</v>
      </c>
      <c r="M125">
        <v>73.72</v>
      </c>
      <c r="N125" t="s">
        <v>432</v>
      </c>
    </row>
    <row r="126" spans="1:14" x14ac:dyDescent="0.25">
      <c r="A126" t="s">
        <v>457</v>
      </c>
      <c r="B126" s="1" t="s">
        <v>458</v>
      </c>
      <c r="C126" t="s">
        <v>299</v>
      </c>
      <c r="D126" s="1" t="s">
        <v>87</v>
      </c>
      <c r="E126">
        <v>165.20106295856434</v>
      </c>
      <c r="F126">
        <v>161.00720510290969</v>
      </c>
      <c r="G126">
        <v>166.13663521277311</v>
      </c>
      <c r="H126">
        <v>159.69975964749963</v>
      </c>
      <c r="I126">
        <v>159.82129704557482</v>
      </c>
      <c r="J126">
        <v>162.1397489940112</v>
      </c>
      <c r="K126">
        <v>186.69371327093563</v>
      </c>
      <c r="L126">
        <v>191.39292629362694</v>
      </c>
      <c r="M126">
        <v>201.32127616790788</v>
      </c>
      <c r="N126" t="s">
        <v>432</v>
      </c>
    </row>
    <row r="127" spans="1:14" x14ac:dyDescent="0.25">
      <c r="A127" t="s">
        <v>457</v>
      </c>
      <c r="B127" s="1" t="s">
        <v>458</v>
      </c>
      <c r="C127" t="s">
        <v>289</v>
      </c>
      <c r="D127" s="1" t="s">
        <v>185</v>
      </c>
      <c r="E127">
        <v>69.630548442166372</v>
      </c>
      <c r="F127">
        <v>69.948483708483494</v>
      </c>
      <c r="G127">
        <v>70.272994939355371</v>
      </c>
      <c r="H127">
        <v>70.548665992150347</v>
      </c>
      <c r="I127">
        <v>70.842406460500101</v>
      </c>
      <c r="J127">
        <v>69.880130849098165</v>
      </c>
      <c r="K127">
        <v>68.179099483963341</v>
      </c>
      <c r="L127">
        <v>71.430455250869386</v>
      </c>
      <c r="M127">
        <v>71.796244979585495</v>
      </c>
      <c r="N127" t="s">
        <v>432</v>
      </c>
    </row>
    <row r="128" spans="1:14" x14ac:dyDescent="0.25">
      <c r="A128" t="s">
        <v>459</v>
      </c>
      <c r="B128" s="1" t="s">
        <v>460</v>
      </c>
      <c r="C128" t="s">
        <v>299</v>
      </c>
      <c r="D128" s="1" t="s">
        <v>87</v>
      </c>
      <c r="E128">
        <v>604.25475065401861</v>
      </c>
      <c r="F128">
        <v>637.0560559335737</v>
      </c>
      <c r="G128">
        <v>669.23267497452616</v>
      </c>
      <c r="H128">
        <v>723.92547382686837</v>
      </c>
      <c r="I128">
        <v>754.67374077847899</v>
      </c>
      <c r="J128">
        <v>799.46805313034758</v>
      </c>
      <c r="K128">
        <v>899.28725923138654</v>
      </c>
      <c r="L128">
        <v>905.11481866848806</v>
      </c>
      <c r="M128">
        <v>881.2908979605636</v>
      </c>
      <c r="N128" t="s">
        <v>432</v>
      </c>
    </row>
    <row r="129" spans="1:14" x14ac:dyDescent="0.25">
      <c r="A129" t="s">
        <v>459</v>
      </c>
      <c r="B129" s="1" t="s">
        <v>460</v>
      </c>
      <c r="C129" t="s">
        <v>289</v>
      </c>
      <c r="D129" s="1" t="s">
        <v>185</v>
      </c>
      <c r="E129">
        <v>75.792601019299155</v>
      </c>
      <c r="F129">
        <v>75.987016673210249</v>
      </c>
      <c r="G129">
        <v>76.078992358553705</v>
      </c>
      <c r="H129">
        <v>76.391422938317078</v>
      </c>
      <c r="I129">
        <v>76.586241299496237</v>
      </c>
      <c r="J129">
        <v>76.543394692326743</v>
      </c>
      <c r="K129">
        <v>76.152941315903988</v>
      </c>
      <c r="L129">
        <v>76.67671671474524</v>
      </c>
      <c r="M129">
        <v>76.659417726780731</v>
      </c>
      <c r="N129" t="s">
        <v>432</v>
      </c>
    </row>
    <row r="130" spans="1:14" x14ac:dyDescent="0.25">
      <c r="A130" t="s">
        <v>461</v>
      </c>
      <c r="B130" s="1" t="s">
        <v>462</v>
      </c>
      <c r="C130" t="s">
        <v>299</v>
      </c>
      <c r="D130" s="1" t="s">
        <v>87</v>
      </c>
      <c r="E130">
        <v>307.27050452969382</v>
      </c>
      <c r="F130">
        <v>312.5789616959845</v>
      </c>
      <c r="G130">
        <v>342.75236620175502</v>
      </c>
      <c r="H130">
        <v>388.6102204138536</v>
      </c>
      <c r="I130">
        <v>414.60968182013863</v>
      </c>
      <c r="J130">
        <v>446.45387308591336</v>
      </c>
      <c r="K130">
        <v>515.52734065781146</v>
      </c>
      <c r="L130">
        <v>566.03028629837343</v>
      </c>
      <c r="M130">
        <v>570.0461541074975</v>
      </c>
      <c r="N130" t="s">
        <v>432</v>
      </c>
    </row>
    <row r="131" spans="1:14" x14ac:dyDescent="0.25">
      <c r="A131" t="s">
        <v>461</v>
      </c>
      <c r="B131" s="1" t="s">
        <v>462</v>
      </c>
      <c r="C131" t="s">
        <v>289</v>
      </c>
      <c r="D131" s="1" t="s">
        <v>185</v>
      </c>
      <c r="E131">
        <v>74.951124384873935</v>
      </c>
      <c r="F131">
        <v>75.155911766343351</v>
      </c>
      <c r="G131">
        <v>75.239671488030581</v>
      </c>
      <c r="H131">
        <v>75.578286181559989</v>
      </c>
      <c r="I131">
        <v>75.768969032150906</v>
      </c>
      <c r="J131">
        <v>75.697639329506387</v>
      </c>
      <c r="K131">
        <v>75.278141841084917</v>
      </c>
      <c r="L131">
        <v>75.932540943690285</v>
      </c>
      <c r="M131">
        <v>75.880683089526585</v>
      </c>
      <c r="N131" t="s">
        <v>432</v>
      </c>
    </row>
    <row r="132" spans="1:14" x14ac:dyDescent="0.25">
      <c r="A132" t="s">
        <v>463</v>
      </c>
      <c r="B132" s="1" t="s">
        <v>464</v>
      </c>
      <c r="C132" t="s">
        <v>299</v>
      </c>
      <c r="D132" s="1" t="s">
        <v>87</v>
      </c>
      <c r="E132">
        <v>307.28501637845903</v>
      </c>
      <c r="F132">
        <v>312.59470065234677</v>
      </c>
      <c r="G132">
        <v>342.76905506008325</v>
      </c>
      <c r="H132">
        <v>388.62701699615661</v>
      </c>
      <c r="I132">
        <v>414.62703931563055</v>
      </c>
      <c r="J132">
        <v>446.47111660936162</v>
      </c>
      <c r="K132">
        <v>515.54555924800127</v>
      </c>
      <c r="L132">
        <v>566.0525355230327</v>
      </c>
      <c r="M132">
        <v>570.0651945205758</v>
      </c>
      <c r="N132" t="s">
        <v>432</v>
      </c>
    </row>
    <row r="133" spans="1:14" x14ac:dyDescent="0.25">
      <c r="A133" t="s">
        <v>463</v>
      </c>
      <c r="B133" s="1" t="s">
        <v>464</v>
      </c>
      <c r="C133" t="s">
        <v>289</v>
      </c>
      <c r="D133" s="1" t="s">
        <v>185</v>
      </c>
      <c r="E133">
        <v>74.97777683748258</v>
      </c>
      <c r="F133">
        <v>75.183226995547727</v>
      </c>
      <c r="G133">
        <v>75.267164018585888</v>
      </c>
      <c r="H133">
        <v>75.610124154434743</v>
      </c>
      <c r="I133">
        <v>75.804287723453413</v>
      </c>
      <c r="J133">
        <v>75.733849705469936</v>
      </c>
      <c r="K133">
        <v>75.300980606019905</v>
      </c>
      <c r="L133">
        <v>75.96103474613362</v>
      </c>
      <c r="M133">
        <v>75.908564360380723</v>
      </c>
      <c r="N133" t="s">
        <v>432</v>
      </c>
    </row>
    <row r="134" spans="1:14" x14ac:dyDescent="0.25">
      <c r="A134" t="s">
        <v>31</v>
      </c>
      <c r="B134" s="1" t="s">
        <v>4</v>
      </c>
      <c r="C134" t="s">
        <v>299</v>
      </c>
      <c r="D134" s="1" t="s">
        <v>87</v>
      </c>
      <c r="E134">
        <v>464.22186278999999</v>
      </c>
      <c r="F134">
        <v>449.03869629000002</v>
      </c>
      <c r="G134">
        <v>469.04544067</v>
      </c>
      <c r="H134">
        <v>493.82693481000001</v>
      </c>
      <c r="I134">
        <v>484.54037476000002</v>
      </c>
      <c r="J134">
        <v>470.20355224999997</v>
      </c>
      <c r="K134">
        <v>507.65136718999997</v>
      </c>
      <c r="L134">
        <v>495.30380249000001</v>
      </c>
      <c r="M134">
        <v>509.49414063</v>
      </c>
      <c r="N134" t="s">
        <v>432</v>
      </c>
    </row>
    <row r="135" spans="1:14" x14ac:dyDescent="0.25">
      <c r="A135" t="s">
        <v>31</v>
      </c>
      <c r="B135" s="1" t="s">
        <v>4</v>
      </c>
      <c r="C135" t="s">
        <v>289</v>
      </c>
      <c r="D135" s="1" t="s">
        <v>185</v>
      </c>
      <c r="E135">
        <v>76.221999999999994</v>
      </c>
      <c r="F135">
        <v>76.093999999999994</v>
      </c>
      <c r="G135">
        <v>76.22</v>
      </c>
      <c r="H135">
        <v>77.248000000000005</v>
      </c>
      <c r="I135">
        <v>77.286000000000001</v>
      </c>
      <c r="J135">
        <v>72.004000000000005</v>
      </c>
      <c r="K135">
        <v>72.745999999999995</v>
      </c>
      <c r="L135">
        <v>76.576999999999998</v>
      </c>
      <c r="M135">
        <v>77.391999999999996</v>
      </c>
      <c r="N135" t="s">
        <v>432</v>
      </c>
    </row>
    <row r="136" spans="1:14" x14ac:dyDescent="0.25">
      <c r="A136" t="s">
        <v>219</v>
      </c>
      <c r="B136" s="1" t="s">
        <v>379</v>
      </c>
      <c r="C136" t="s">
        <v>299</v>
      </c>
      <c r="D136" s="1" t="s">
        <v>87</v>
      </c>
      <c r="E136">
        <v>170.25532532</v>
      </c>
      <c r="F136">
        <v>142.61845398</v>
      </c>
      <c r="G136">
        <v>106.00288390999999</v>
      </c>
      <c r="H136">
        <v>118.01481628000001</v>
      </c>
      <c r="I136">
        <v>142.69670105</v>
      </c>
      <c r="J136">
        <v>148.35269165</v>
      </c>
      <c r="K136">
        <v>176.93664551000001</v>
      </c>
      <c r="L136">
        <v>171.67852783000001</v>
      </c>
      <c r="M136">
        <v>141.41111755</v>
      </c>
      <c r="N136" t="s">
        <v>432</v>
      </c>
    </row>
    <row r="137" spans="1:14" x14ac:dyDescent="0.25">
      <c r="A137" t="s">
        <v>219</v>
      </c>
      <c r="B137" s="1" t="s">
        <v>379</v>
      </c>
      <c r="C137" t="s">
        <v>289</v>
      </c>
      <c r="D137" s="1" t="s">
        <v>185</v>
      </c>
      <c r="E137">
        <v>70.135000000000005</v>
      </c>
      <c r="F137">
        <v>70.436999999999998</v>
      </c>
      <c r="G137">
        <v>70.709000000000003</v>
      </c>
      <c r="H137">
        <v>70.974000000000004</v>
      </c>
      <c r="I137">
        <v>71.212999999999994</v>
      </c>
      <c r="J137">
        <v>69.790000000000006</v>
      </c>
      <c r="K137">
        <v>68.975999999999999</v>
      </c>
      <c r="L137">
        <v>71.010000000000005</v>
      </c>
      <c r="M137">
        <v>71.632999999999996</v>
      </c>
      <c r="N137" t="s">
        <v>432</v>
      </c>
    </row>
    <row r="138" spans="1:14" x14ac:dyDescent="0.25">
      <c r="A138" t="s">
        <v>246</v>
      </c>
      <c r="B138" s="1" t="s">
        <v>389</v>
      </c>
      <c r="C138" t="s">
        <v>299</v>
      </c>
      <c r="D138" s="1" t="s">
        <v>87</v>
      </c>
      <c r="E138">
        <v>331.96725464000002</v>
      </c>
      <c r="F138">
        <v>339.97875977000001</v>
      </c>
      <c r="G138">
        <v>338.60742188</v>
      </c>
      <c r="H138">
        <v>348.18817138999998</v>
      </c>
      <c r="I138">
        <v>380.53384398999998</v>
      </c>
      <c r="J138">
        <v>357.78799437999999</v>
      </c>
      <c r="K138">
        <v>470.14025879000002</v>
      </c>
      <c r="L138">
        <v>500.20321654999998</v>
      </c>
      <c r="M138">
        <v>500.69497681000001</v>
      </c>
      <c r="N138" t="s">
        <v>432</v>
      </c>
    </row>
    <row r="139" spans="1:14" x14ac:dyDescent="0.25">
      <c r="A139" t="s">
        <v>246</v>
      </c>
      <c r="B139" s="1" t="s">
        <v>389</v>
      </c>
      <c r="C139" t="s">
        <v>289</v>
      </c>
      <c r="D139" s="1" t="s">
        <v>185</v>
      </c>
      <c r="E139">
        <v>70.951999999999998</v>
      </c>
      <c r="F139">
        <v>70.908000000000001</v>
      </c>
      <c r="G139">
        <v>71.007000000000005</v>
      </c>
      <c r="H139">
        <v>71.384</v>
      </c>
      <c r="I139">
        <v>71.724999999999994</v>
      </c>
      <c r="J139">
        <v>70.244</v>
      </c>
      <c r="K139">
        <v>69.941000000000003</v>
      </c>
      <c r="L139">
        <v>71.968999999999994</v>
      </c>
      <c r="M139">
        <v>72.099000000000004</v>
      </c>
      <c r="N139" t="s">
        <v>432</v>
      </c>
    </row>
    <row r="140" spans="1:14" x14ac:dyDescent="0.25">
      <c r="A140" t="s">
        <v>54</v>
      </c>
      <c r="B140" s="1" t="s">
        <v>17</v>
      </c>
      <c r="C140" t="s">
        <v>299</v>
      </c>
      <c r="D140" s="1" t="s">
        <v>87</v>
      </c>
      <c r="E140">
        <v>222.81713866999999</v>
      </c>
      <c r="F140">
        <v>221.49227905000001</v>
      </c>
      <c r="G140">
        <v>223.43542479999999</v>
      </c>
      <c r="H140">
        <v>240.49389647999999</v>
      </c>
      <c r="I140">
        <v>223.14128113000001</v>
      </c>
      <c r="J140">
        <v>213.59317017000001</v>
      </c>
      <c r="K140">
        <v>243.81242370999999</v>
      </c>
      <c r="L140">
        <v>215.32841492</v>
      </c>
      <c r="M140">
        <v>233.68379211000001</v>
      </c>
      <c r="N140" t="s">
        <v>432</v>
      </c>
    </row>
    <row r="141" spans="1:14" x14ac:dyDescent="0.25">
      <c r="A141" t="s">
        <v>54</v>
      </c>
      <c r="B141" s="1" t="s">
        <v>17</v>
      </c>
      <c r="C141" t="s">
        <v>289</v>
      </c>
      <c r="D141" s="1" t="s">
        <v>185</v>
      </c>
      <c r="E141">
        <v>60.634999999999998</v>
      </c>
      <c r="F141">
        <v>61.081000000000003</v>
      </c>
      <c r="G141">
        <v>61.481000000000002</v>
      </c>
      <c r="H141">
        <v>61.914999999999999</v>
      </c>
      <c r="I141">
        <v>62.296999999999997</v>
      </c>
      <c r="J141">
        <v>62.140999999999998</v>
      </c>
      <c r="K141">
        <v>62.447000000000003</v>
      </c>
      <c r="L141">
        <v>63.354999999999997</v>
      </c>
      <c r="M141">
        <v>63.707000000000001</v>
      </c>
      <c r="N141" t="s">
        <v>432</v>
      </c>
    </row>
    <row r="142" spans="1:14" x14ac:dyDescent="0.25">
      <c r="A142" t="s">
        <v>191</v>
      </c>
      <c r="B142" s="1" t="s">
        <v>169</v>
      </c>
      <c r="C142" t="s">
        <v>299</v>
      </c>
      <c r="D142" s="1" t="s">
        <v>87</v>
      </c>
      <c r="E142">
        <v>29.22208977</v>
      </c>
      <c r="F142">
        <v>26.005924220000001</v>
      </c>
      <c r="G142">
        <v>25.102706909999998</v>
      </c>
      <c r="H142">
        <v>26.68201256</v>
      </c>
      <c r="I142">
        <v>28.429307940000001</v>
      </c>
      <c r="J142">
        <v>27.666978839999999</v>
      </c>
      <c r="K142">
        <v>27.587594989999999</v>
      </c>
      <c r="L142">
        <v>27.089805599999998</v>
      </c>
      <c r="M142">
        <v>28.29782677</v>
      </c>
      <c r="N142" t="s">
        <v>432</v>
      </c>
    </row>
    <row r="143" spans="1:14" x14ac:dyDescent="0.25">
      <c r="A143" t="s">
        <v>191</v>
      </c>
      <c r="B143" s="1" t="s">
        <v>169</v>
      </c>
      <c r="C143" t="s">
        <v>289</v>
      </c>
      <c r="D143" s="1" t="s">
        <v>185</v>
      </c>
      <c r="E143">
        <v>65.909000000000006</v>
      </c>
      <c r="F143">
        <v>66.242000000000004</v>
      </c>
      <c r="G143">
        <v>66.611999999999995</v>
      </c>
      <c r="H143">
        <v>66.978999999999999</v>
      </c>
      <c r="I143">
        <v>67.305999999999997</v>
      </c>
      <c r="J143">
        <v>66.98</v>
      </c>
      <c r="K143">
        <v>66.94</v>
      </c>
      <c r="L143">
        <v>67.789000000000001</v>
      </c>
      <c r="M143">
        <v>68.623999999999995</v>
      </c>
      <c r="N143" t="s">
        <v>432</v>
      </c>
    </row>
    <row r="144" spans="1:14" x14ac:dyDescent="0.25">
      <c r="A144" t="s">
        <v>124</v>
      </c>
      <c r="B144" s="1" t="s">
        <v>38</v>
      </c>
      <c r="C144" t="s">
        <v>299</v>
      </c>
      <c r="D144" s="1" t="s">
        <v>87</v>
      </c>
      <c r="E144">
        <v>1156.20275879</v>
      </c>
      <c r="F144">
        <v>1226.0859375</v>
      </c>
      <c r="G144">
        <v>1350.1264648399999</v>
      </c>
      <c r="H144">
        <v>1553.4334716799999</v>
      </c>
      <c r="I144">
        <v>1599.3503418</v>
      </c>
      <c r="J144">
        <v>1789.03417969</v>
      </c>
      <c r="K144">
        <v>2091.1564941400002</v>
      </c>
      <c r="L144">
        <v>1998.7452392600001</v>
      </c>
      <c r="M144">
        <v>2258.4597168</v>
      </c>
      <c r="N144">
        <v>2437.8376464799999</v>
      </c>
    </row>
    <row r="145" spans="1:14" x14ac:dyDescent="0.25">
      <c r="A145" t="s">
        <v>124</v>
      </c>
      <c r="B145" s="1" t="s">
        <v>38</v>
      </c>
      <c r="C145" t="s">
        <v>289</v>
      </c>
      <c r="D145" s="1" t="s">
        <v>185</v>
      </c>
      <c r="E145">
        <v>77.590243902439028</v>
      </c>
      <c r="F145">
        <v>77.64146341463416</v>
      </c>
      <c r="G145">
        <v>78.092682926829269</v>
      </c>
      <c r="H145">
        <v>78.243902439024396</v>
      </c>
      <c r="I145">
        <v>78.646341463414657</v>
      </c>
      <c r="J145">
        <v>78.595121951219525</v>
      </c>
      <c r="K145">
        <v>76.943902439024399</v>
      </c>
      <c r="L145">
        <v>77.84390243902439</v>
      </c>
      <c r="M145">
        <v>78.490243902439019</v>
      </c>
      <c r="N145" t="s">
        <v>432</v>
      </c>
    </row>
    <row r="146" spans="1:14" x14ac:dyDescent="0.25">
      <c r="A146" t="s">
        <v>253</v>
      </c>
      <c r="B146" s="1" t="s">
        <v>207</v>
      </c>
      <c r="C146" t="s">
        <v>299</v>
      </c>
      <c r="D146" s="1" t="s">
        <v>87</v>
      </c>
      <c r="E146">
        <v>250.71520996000001</v>
      </c>
      <c r="F146">
        <v>226.41770935</v>
      </c>
      <c r="G146">
        <v>265.50152587999997</v>
      </c>
      <c r="H146">
        <v>292.33929443</v>
      </c>
      <c r="I146">
        <v>320.05084228999999</v>
      </c>
      <c r="J146">
        <v>236.99609375</v>
      </c>
      <c r="K146">
        <v>297.72213744999999</v>
      </c>
      <c r="L146">
        <v>284.75802612000001</v>
      </c>
      <c r="M146">
        <v>296.04562378000003</v>
      </c>
      <c r="N146" t="s">
        <v>432</v>
      </c>
    </row>
    <row r="147" spans="1:14" x14ac:dyDescent="0.25">
      <c r="A147" t="s">
        <v>253</v>
      </c>
      <c r="B147" s="1" t="s">
        <v>207</v>
      </c>
      <c r="C147" t="s">
        <v>289</v>
      </c>
      <c r="D147" s="1" t="s">
        <v>185</v>
      </c>
      <c r="E147">
        <v>54.941000000000003</v>
      </c>
      <c r="F147">
        <v>56.228000000000002</v>
      </c>
      <c r="G147">
        <v>57.573999999999998</v>
      </c>
      <c r="H147">
        <v>58.707000000000001</v>
      </c>
      <c r="I147">
        <v>59.85</v>
      </c>
      <c r="J147">
        <v>59.862000000000002</v>
      </c>
      <c r="K147">
        <v>58.228000000000002</v>
      </c>
      <c r="L147">
        <v>63.027999999999999</v>
      </c>
      <c r="M147">
        <v>64.123000000000005</v>
      </c>
      <c r="N147" t="s">
        <v>432</v>
      </c>
    </row>
    <row r="148" spans="1:14" x14ac:dyDescent="0.25">
      <c r="A148" t="s">
        <v>34</v>
      </c>
      <c r="B148" s="1" t="s">
        <v>300</v>
      </c>
      <c r="C148" t="s">
        <v>299</v>
      </c>
      <c r="D148" s="1" t="s">
        <v>87</v>
      </c>
      <c r="E148">
        <v>23.218172070000001</v>
      </c>
      <c r="F148">
        <v>24.34373283</v>
      </c>
      <c r="G148">
        <v>24.182394030000001</v>
      </c>
      <c r="H148">
        <v>23.520557400000001</v>
      </c>
      <c r="I148">
        <v>25.935119629999999</v>
      </c>
      <c r="J148">
        <v>28.280015949999999</v>
      </c>
      <c r="K148">
        <v>26.06931114</v>
      </c>
      <c r="L148">
        <v>27.06845474</v>
      </c>
      <c r="M148">
        <v>34.798469539999999</v>
      </c>
      <c r="N148" t="s">
        <v>432</v>
      </c>
    </row>
    <row r="149" spans="1:14" x14ac:dyDescent="0.25">
      <c r="A149" t="s">
        <v>34</v>
      </c>
      <c r="B149" s="1" t="s">
        <v>300</v>
      </c>
      <c r="C149" t="s">
        <v>289</v>
      </c>
      <c r="D149" s="1" t="s">
        <v>185</v>
      </c>
      <c r="E149">
        <v>63.591999999999999</v>
      </c>
      <c r="F149">
        <v>64.162000000000006</v>
      </c>
      <c r="G149">
        <v>64.766000000000005</v>
      </c>
      <c r="H149">
        <v>65.257000000000005</v>
      </c>
      <c r="I149">
        <v>65.741</v>
      </c>
      <c r="J149">
        <v>65.968999999999994</v>
      </c>
      <c r="K149">
        <v>65.33</v>
      </c>
      <c r="L149">
        <v>66.897000000000006</v>
      </c>
      <c r="M149">
        <v>67.314999999999998</v>
      </c>
      <c r="N149" t="s">
        <v>432</v>
      </c>
    </row>
    <row r="150" spans="1:14" x14ac:dyDescent="0.25">
      <c r="A150" t="s">
        <v>465</v>
      </c>
      <c r="B150" s="1" t="s">
        <v>466</v>
      </c>
      <c r="C150" t="s">
        <v>299</v>
      </c>
      <c r="D150" s="1" t="s">
        <v>87</v>
      </c>
      <c r="E150">
        <v>3509.506753023416</v>
      </c>
      <c r="F150">
        <v>3572.5247458986019</v>
      </c>
      <c r="G150">
        <v>3768.1826372879309</v>
      </c>
      <c r="H150">
        <v>4058.5981722665724</v>
      </c>
      <c r="I150">
        <v>3990.7206471891982</v>
      </c>
      <c r="J150">
        <v>4267.9686722449951</v>
      </c>
      <c r="K150">
        <v>4808.5266745298022</v>
      </c>
      <c r="L150">
        <v>4440.7866327800066</v>
      </c>
      <c r="M150">
        <v>4665.3058988540606</v>
      </c>
      <c r="N150">
        <v>5420.8435743674181</v>
      </c>
    </row>
    <row r="151" spans="1:14" x14ac:dyDescent="0.25">
      <c r="A151" t="s">
        <v>465</v>
      </c>
      <c r="B151" s="1" t="s">
        <v>466</v>
      </c>
      <c r="C151" t="s">
        <v>289</v>
      </c>
      <c r="D151" s="1" t="s">
        <v>185</v>
      </c>
      <c r="E151">
        <v>81.519399121756678</v>
      </c>
      <c r="F151">
        <v>81.907587493128403</v>
      </c>
      <c r="G151">
        <v>81.884008559474339</v>
      </c>
      <c r="H151">
        <v>82.002760257771882</v>
      </c>
      <c r="I151">
        <v>82.280421155182907</v>
      </c>
      <c r="J151">
        <v>81.487357165750325</v>
      </c>
      <c r="K151">
        <v>81.5839330415712</v>
      </c>
      <c r="L151">
        <v>81.623202562847112</v>
      </c>
      <c r="M151">
        <v>82.194952481037959</v>
      </c>
      <c r="N151" t="s">
        <v>432</v>
      </c>
    </row>
    <row r="152" spans="1:14" x14ac:dyDescent="0.25">
      <c r="A152" t="s">
        <v>467</v>
      </c>
      <c r="B152" s="1" t="s">
        <v>468</v>
      </c>
      <c r="C152" t="s">
        <v>299</v>
      </c>
      <c r="D152" s="1" t="s">
        <v>87</v>
      </c>
      <c r="E152">
        <v>2105.263512332207</v>
      </c>
      <c r="F152">
        <v>2095.7945477450303</v>
      </c>
      <c r="G152">
        <v>2194.3874003642263</v>
      </c>
      <c r="H152">
        <v>2346.5775852479978</v>
      </c>
      <c r="I152">
        <v>2329.105120804657</v>
      </c>
      <c r="J152">
        <v>2527.4516142310199</v>
      </c>
      <c r="K152">
        <v>2865.3620403890736</v>
      </c>
      <c r="L152">
        <v>2811.9154503739587</v>
      </c>
      <c r="M152">
        <v>2968.4369806091322</v>
      </c>
      <c r="N152" t="s">
        <v>432</v>
      </c>
    </row>
    <row r="153" spans="1:14" x14ac:dyDescent="0.25">
      <c r="A153" t="s">
        <v>467</v>
      </c>
      <c r="B153" s="1" t="s">
        <v>468</v>
      </c>
      <c r="C153" t="s">
        <v>289</v>
      </c>
      <c r="D153" s="1" t="s">
        <v>185</v>
      </c>
      <c r="E153">
        <v>77.330973234662522</v>
      </c>
      <c r="F153">
        <v>77.681322731133008</v>
      </c>
      <c r="G153">
        <v>77.899058722116976</v>
      </c>
      <c r="H153">
        <v>78.031880035148731</v>
      </c>
      <c r="I153">
        <v>78.303907202353528</v>
      </c>
      <c r="J153">
        <v>77.175531318347296</v>
      </c>
      <c r="K153">
        <v>76.72868649167394</v>
      </c>
      <c r="L153">
        <v>77.834478715125812</v>
      </c>
      <c r="M153">
        <v>78.385481606893237</v>
      </c>
      <c r="N153" t="s">
        <v>432</v>
      </c>
    </row>
    <row r="154" spans="1:14" x14ac:dyDescent="0.25">
      <c r="A154" t="s">
        <v>469</v>
      </c>
      <c r="B154" s="1" t="s">
        <v>470</v>
      </c>
      <c r="C154" t="s">
        <v>299</v>
      </c>
      <c r="D154" s="1" t="s">
        <v>87</v>
      </c>
      <c r="E154">
        <v>294.26991628395643</v>
      </c>
      <c r="F154">
        <v>289.02004128330407</v>
      </c>
      <c r="G154">
        <v>288.64030499219109</v>
      </c>
      <c r="H154">
        <v>282.06352501822943</v>
      </c>
      <c r="I154">
        <v>296.59997565349437</v>
      </c>
      <c r="J154">
        <v>313.49273878744475</v>
      </c>
      <c r="K154">
        <v>373.79966431914374</v>
      </c>
      <c r="L154">
        <v>366.11515080170562</v>
      </c>
      <c r="M154">
        <v>455.30913952715855</v>
      </c>
      <c r="N154" t="s">
        <v>432</v>
      </c>
    </row>
    <row r="155" spans="1:14" x14ac:dyDescent="0.25">
      <c r="A155" t="s">
        <v>469</v>
      </c>
      <c r="B155" s="1" t="s">
        <v>470</v>
      </c>
      <c r="C155" t="s">
        <v>289</v>
      </c>
      <c r="D155" s="1" t="s">
        <v>185</v>
      </c>
      <c r="E155">
        <v>73.75540825886597</v>
      </c>
      <c r="F155">
        <v>74.031376906509891</v>
      </c>
      <c r="G155">
        <v>74.403353902901557</v>
      </c>
      <c r="H155">
        <v>74.592798924303551</v>
      </c>
      <c r="I155">
        <v>74.815834056754625</v>
      </c>
      <c r="J155">
        <v>73.553686867566924</v>
      </c>
      <c r="K155">
        <v>72.882376205294307</v>
      </c>
      <c r="L155">
        <v>74.573168419047391</v>
      </c>
      <c r="M155">
        <v>74.792306098364719</v>
      </c>
      <c r="N155" t="s">
        <v>432</v>
      </c>
    </row>
    <row r="156" spans="1:14" x14ac:dyDescent="0.25">
      <c r="A156" t="s">
        <v>471</v>
      </c>
      <c r="B156" s="1" t="s">
        <v>472</v>
      </c>
      <c r="C156" t="s">
        <v>299</v>
      </c>
      <c r="D156" s="1" t="s">
        <v>87</v>
      </c>
      <c r="E156">
        <v>416.86786730017559</v>
      </c>
      <c r="F156">
        <v>406.36382178583665</v>
      </c>
      <c r="G156">
        <v>454.56238580520971</v>
      </c>
      <c r="H156">
        <v>472.92294572172955</v>
      </c>
      <c r="I156">
        <v>499.11892500505945</v>
      </c>
      <c r="J156">
        <v>565.47187430608994</v>
      </c>
      <c r="K156">
        <v>641.69203007306101</v>
      </c>
      <c r="L156">
        <v>732.61973291680044</v>
      </c>
      <c r="M156">
        <v>791.09000487346702</v>
      </c>
      <c r="N156" t="s">
        <v>432</v>
      </c>
    </row>
    <row r="157" spans="1:14" x14ac:dyDescent="0.25">
      <c r="A157" t="s">
        <v>471</v>
      </c>
      <c r="B157" s="1" t="s">
        <v>472</v>
      </c>
      <c r="C157" t="s">
        <v>289</v>
      </c>
      <c r="D157" s="1" t="s">
        <v>185</v>
      </c>
      <c r="E157">
        <v>73.340813295081333</v>
      </c>
      <c r="F157">
        <v>73.690210980894648</v>
      </c>
      <c r="G157">
        <v>74.131868177455573</v>
      </c>
      <c r="H157">
        <v>74.29766220135923</v>
      </c>
      <c r="I157">
        <v>74.590946255432044</v>
      </c>
      <c r="J157">
        <v>73.149251251188844</v>
      </c>
      <c r="K157">
        <v>72.150640682617208</v>
      </c>
      <c r="L157">
        <v>74.188365484250284</v>
      </c>
      <c r="M157">
        <v>74.72653719942916</v>
      </c>
      <c r="N157" t="s">
        <v>432</v>
      </c>
    </row>
    <row r="158" spans="1:14" x14ac:dyDescent="0.25">
      <c r="A158" t="s">
        <v>473</v>
      </c>
      <c r="B158" s="1" t="s">
        <v>474</v>
      </c>
      <c r="C158" t="s">
        <v>299</v>
      </c>
      <c r="D158" s="1" t="s">
        <v>87</v>
      </c>
      <c r="E158">
        <v>3056.0016232766593</v>
      </c>
      <c r="F158">
        <v>3117.1862539094727</v>
      </c>
      <c r="G158">
        <v>3295.2118136021245</v>
      </c>
      <c r="H158">
        <v>3552.9434430703723</v>
      </c>
      <c r="I158">
        <v>3498.7673309422694</v>
      </c>
      <c r="J158">
        <v>3749.1399049874244</v>
      </c>
      <c r="K158">
        <v>4245.2602745348204</v>
      </c>
      <c r="L158">
        <v>3922.6960042469545</v>
      </c>
      <c r="M158">
        <v>4153.5843586480587</v>
      </c>
      <c r="N158">
        <v>5005.4975379404304</v>
      </c>
    </row>
    <row r="159" spans="1:14" x14ac:dyDescent="0.25">
      <c r="A159" t="s">
        <v>473</v>
      </c>
      <c r="B159" s="1" t="s">
        <v>474</v>
      </c>
      <c r="C159" t="s">
        <v>289</v>
      </c>
      <c r="D159" s="1" t="s">
        <v>185</v>
      </c>
      <c r="E159">
        <v>80.570896622066883</v>
      </c>
      <c r="F159">
        <v>80.953080808162667</v>
      </c>
      <c r="G159">
        <v>80.930309785309873</v>
      </c>
      <c r="H159">
        <v>81.031751006482082</v>
      </c>
      <c r="I159">
        <v>81.319452490183451</v>
      </c>
      <c r="J159">
        <v>80.441475467855085</v>
      </c>
      <c r="K159">
        <v>80.30719644008748</v>
      </c>
      <c r="L159">
        <v>80.713505629087635</v>
      </c>
      <c r="M159">
        <v>81.412806371770216</v>
      </c>
      <c r="N159" t="s">
        <v>432</v>
      </c>
    </row>
    <row r="160" spans="1:14" x14ac:dyDescent="0.25">
      <c r="A160" t="s">
        <v>475</v>
      </c>
      <c r="B160" s="1" t="s">
        <v>476</v>
      </c>
      <c r="C160" t="s">
        <v>299</v>
      </c>
      <c r="D160" s="1" t="s">
        <v>87</v>
      </c>
      <c r="E160" t="s">
        <v>432</v>
      </c>
      <c r="F160" t="s">
        <v>432</v>
      </c>
      <c r="G160" t="s">
        <v>432</v>
      </c>
      <c r="H160" t="s">
        <v>432</v>
      </c>
      <c r="I160" t="s">
        <v>432</v>
      </c>
      <c r="J160" t="s">
        <v>432</v>
      </c>
      <c r="K160" t="s">
        <v>432</v>
      </c>
      <c r="L160" t="s">
        <v>432</v>
      </c>
      <c r="M160" t="s">
        <v>432</v>
      </c>
      <c r="N160" t="s">
        <v>432</v>
      </c>
    </row>
    <row r="161" spans="1:14" x14ac:dyDescent="0.25">
      <c r="A161" t="s">
        <v>475</v>
      </c>
      <c r="B161" s="1" t="s">
        <v>476</v>
      </c>
      <c r="C161" t="s">
        <v>289</v>
      </c>
      <c r="D161" s="1" t="s">
        <v>185</v>
      </c>
      <c r="E161">
        <v>81.792682926829286</v>
      </c>
      <c r="F161">
        <v>81.992682926829275</v>
      </c>
      <c r="G161">
        <v>82.143902439024401</v>
      </c>
      <c r="H161">
        <v>82.292682926829272</v>
      </c>
      <c r="I161">
        <v>82.443902439024399</v>
      </c>
      <c r="J161">
        <v>82.643902439024401</v>
      </c>
      <c r="K161">
        <v>82.84390243902439</v>
      </c>
      <c r="L161">
        <v>82.943902439024413</v>
      </c>
      <c r="M161">
        <v>83.143902439024387</v>
      </c>
      <c r="N161" t="s">
        <v>432</v>
      </c>
    </row>
    <row r="162" spans="1:14" x14ac:dyDescent="0.25">
      <c r="A162" t="s">
        <v>81</v>
      </c>
      <c r="B162" s="1" t="s">
        <v>348</v>
      </c>
      <c r="C162" t="s">
        <v>299</v>
      </c>
      <c r="D162" s="1" t="s">
        <v>87</v>
      </c>
      <c r="E162">
        <v>169.47518921</v>
      </c>
      <c r="F162">
        <v>175.91635131999999</v>
      </c>
      <c r="G162">
        <v>185.69645690999999</v>
      </c>
      <c r="H162">
        <v>249.86022948999999</v>
      </c>
      <c r="I162">
        <v>254.83047485</v>
      </c>
      <c r="J162">
        <v>256.25967407000002</v>
      </c>
      <c r="K162">
        <v>331.58413696000002</v>
      </c>
      <c r="L162">
        <v>217.15068054</v>
      </c>
      <c r="M162">
        <v>212.88697815</v>
      </c>
      <c r="N162" t="s">
        <v>432</v>
      </c>
    </row>
    <row r="163" spans="1:14" x14ac:dyDescent="0.25">
      <c r="A163" t="s">
        <v>81</v>
      </c>
      <c r="B163" s="1" t="s">
        <v>348</v>
      </c>
      <c r="C163" t="s">
        <v>289</v>
      </c>
      <c r="D163" s="1" t="s">
        <v>185</v>
      </c>
      <c r="E163">
        <v>66.48</v>
      </c>
      <c r="F163">
        <v>66.656999999999996</v>
      </c>
      <c r="G163">
        <v>67.06</v>
      </c>
      <c r="H163">
        <v>66.965000000000003</v>
      </c>
      <c r="I163">
        <v>67.009</v>
      </c>
      <c r="J163">
        <v>66.924000000000007</v>
      </c>
      <c r="K163">
        <v>64.903999999999996</v>
      </c>
      <c r="L163">
        <v>67.147999999999996</v>
      </c>
      <c r="M163">
        <v>67.316000000000003</v>
      </c>
      <c r="N163" t="s">
        <v>432</v>
      </c>
    </row>
    <row r="164" spans="1:14" x14ac:dyDescent="0.25">
      <c r="A164" t="s">
        <v>109</v>
      </c>
      <c r="B164" s="1" t="s">
        <v>340</v>
      </c>
      <c r="C164" t="s">
        <v>299</v>
      </c>
      <c r="D164" s="1" t="s">
        <v>87</v>
      </c>
      <c r="E164">
        <v>4128.2075195300004</v>
      </c>
      <c r="F164">
        <v>4108.7397460900002</v>
      </c>
      <c r="G164">
        <v>4235.7548828099998</v>
      </c>
      <c r="H164">
        <v>4521.2763671900002</v>
      </c>
      <c r="I164">
        <v>4459.9296875</v>
      </c>
      <c r="J164">
        <v>4736.2143554699996</v>
      </c>
      <c r="K164">
        <v>5261.9096679699996</v>
      </c>
      <c r="L164">
        <v>4902.0390625</v>
      </c>
      <c r="M164">
        <v>5515.4047851599998</v>
      </c>
      <c r="N164" t="s">
        <v>432</v>
      </c>
    </row>
    <row r="165" spans="1:14" x14ac:dyDescent="0.25">
      <c r="A165" t="s">
        <v>109</v>
      </c>
      <c r="B165" s="1" t="s">
        <v>340</v>
      </c>
      <c r="C165" t="s">
        <v>289</v>
      </c>
      <c r="D165" s="1" t="s">
        <v>185</v>
      </c>
      <c r="E165">
        <v>81.480487804878067</v>
      </c>
      <c r="F165">
        <v>81.429268292682934</v>
      </c>
      <c r="G165">
        <v>81.631707317073193</v>
      </c>
      <c r="H165">
        <v>81.734146341463429</v>
      </c>
      <c r="I165">
        <v>81.982926829268294</v>
      </c>
      <c r="J165">
        <v>81.931707317073176</v>
      </c>
      <c r="K165">
        <v>81.885365853658541</v>
      </c>
      <c r="L165">
        <v>81.187804878048794</v>
      </c>
      <c r="M165">
        <v>81.685365853658539</v>
      </c>
      <c r="N165" t="s">
        <v>432</v>
      </c>
    </row>
    <row r="166" spans="1:14" x14ac:dyDescent="0.25">
      <c r="A166" t="s">
        <v>477</v>
      </c>
      <c r="B166" s="1" t="s">
        <v>478</v>
      </c>
      <c r="C166" t="s">
        <v>299</v>
      </c>
      <c r="D166" s="1" t="s">
        <v>87</v>
      </c>
      <c r="E166">
        <v>74.236584218350586</v>
      </c>
      <c r="F166">
        <v>71.760550601049445</v>
      </c>
      <c r="G166">
        <v>71.123460832519939</v>
      </c>
      <c r="H166">
        <v>77.875264302442375</v>
      </c>
      <c r="I166">
        <v>75.447347228125892</v>
      </c>
      <c r="J166">
        <v>74.793248438023099</v>
      </c>
      <c r="K166">
        <v>82.702079518344092</v>
      </c>
      <c r="L166">
        <v>72.878150744004827</v>
      </c>
      <c r="M166">
        <v>70.879853232818618</v>
      </c>
      <c r="N166" t="s">
        <v>432</v>
      </c>
    </row>
    <row r="167" spans="1:14" x14ac:dyDescent="0.25">
      <c r="A167" t="s">
        <v>477</v>
      </c>
      <c r="B167" s="1" t="s">
        <v>478</v>
      </c>
      <c r="C167" t="s">
        <v>289</v>
      </c>
      <c r="D167" s="1" t="s">
        <v>185</v>
      </c>
      <c r="E167">
        <v>60.744993108550773</v>
      </c>
      <c r="F167">
        <v>60.98618366670167</v>
      </c>
      <c r="G167">
        <v>61.229682687012456</v>
      </c>
      <c r="H167">
        <v>61.782508306278572</v>
      </c>
      <c r="I167">
        <v>62.1379545505037</v>
      </c>
      <c r="J167">
        <v>62.066368285403122</v>
      </c>
      <c r="K167">
        <v>61.608681043938475</v>
      </c>
      <c r="L167">
        <v>62.702271566253962</v>
      </c>
      <c r="M167">
        <v>63.34994477710751</v>
      </c>
      <c r="N167" t="s">
        <v>432</v>
      </c>
    </row>
    <row r="168" spans="1:14" x14ac:dyDescent="0.25">
      <c r="A168" t="s">
        <v>316</v>
      </c>
      <c r="B168" s="1" t="s">
        <v>386</v>
      </c>
      <c r="C168" t="s">
        <v>299</v>
      </c>
      <c r="D168" s="1" t="s">
        <v>87</v>
      </c>
      <c r="E168">
        <v>4226.6264648400002</v>
      </c>
      <c r="F168">
        <v>4289.3471679699996</v>
      </c>
      <c r="G168">
        <v>4436.6372070300004</v>
      </c>
      <c r="H168">
        <v>4692.9951171900002</v>
      </c>
      <c r="I168">
        <v>4519.9858398400002</v>
      </c>
      <c r="J168">
        <v>4760.0825195300004</v>
      </c>
      <c r="K168">
        <v>5364.8974609400002</v>
      </c>
      <c r="L168">
        <v>4857.7338867199996</v>
      </c>
      <c r="M168">
        <v>5149.0546875</v>
      </c>
      <c r="N168">
        <v>5327.43359375</v>
      </c>
    </row>
    <row r="169" spans="1:14" x14ac:dyDescent="0.25">
      <c r="A169" t="s">
        <v>316</v>
      </c>
      <c r="B169" s="1" t="s">
        <v>386</v>
      </c>
      <c r="C169" t="s">
        <v>289</v>
      </c>
      <c r="D169" s="1" t="s">
        <v>185</v>
      </c>
      <c r="E169">
        <v>82.321951219512201</v>
      </c>
      <c r="F169">
        <v>82.573170731707322</v>
      </c>
      <c r="G169">
        <v>82.575609756097563</v>
      </c>
      <c r="H169">
        <v>82.675609756097572</v>
      </c>
      <c r="I169">
        <v>82.826829268292698</v>
      </c>
      <c r="J169">
        <v>82.175609756097572</v>
      </c>
      <c r="K169">
        <v>82.324390243902442</v>
      </c>
      <c r="L169">
        <v>82.129268292682937</v>
      </c>
      <c r="M169">
        <v>82.929268292682934</v>
      </c>
      <c r="N169" t="s">
        <v>432</v>
      </c>
    </row>
    <row r="170" spans="1:14" x14ac:dyDescent="0.25">
      <c r="A170" t="s">
        <v>479</v>
      </c>
      <c r="B170" s="1" t="s">
        <v>480</v>
      </c>
      <c r="C170" t="s">
        <v>299</v>
      </c>
      <c r="D170" s="1" t="s">
        <v>87</v>
      </c>
      <c r="E170" t="s">
        <v>432</v>
      </c>
      <c r="F170" t="s">
        <v>432</v>
      </c>
      <c r="G170" t="s">
        <v>432</v>
      </c>
      <c r="H170" t="s">
        <v>432</v>
      </c>
      <c r="I170" t="s">
        <v>432</v>
      </c>
      <c r="J170" t="s">
        <v>432</v>
      </c>
      <c r="K170" t="s">
        <v>432</v>
      </c>
      <c r="L170" t="s">
        <v>432</v>
      </c>
      <c r="M170" t="s">
        <v>432</v>
      </c>
      <c r="N170" t="s">
        <v>432</v>
      </c>
    </row>
    <row r="171" spans="1:14" x14ac:dyDescent="0.25">
      <c r="A171" t="s">
        <v>479</v>
      </c>
      <c r="B171" s="1" t="s">
        <v>480</v>
      </c>
      <c r="C171" t="s">
        <v>289</v>
      </c>
      <c r="D171" s="1" t="s">
        <v>185</v>
      </c>
      <c r="E171">
        <v>82.338999999999999</v>
      </c>
      <c r="F171">
        <v>82.555000000000007</v>
      </c>
      <c r="G171">
        <v>82.774000000000001</v>
      </c>
      <c r="H171">
        <v>82.984999999999999</v>
      </c>
      <c r="I171">
        <v>83.194999999999993</v>
      </c>
      <c r="J171">
        <v>82.459000000000003</v>
      </c>
      <c r="K171">
        <v>79.570999999999998</v>
      </c>
      <c r="L171">
        <v>83.858999999999995</v>
      </c>
      <c r="M171">
        <v>84.07</v>
      </c>
      <c r="N171" t="s">
        <v>432</v>
      </c>
    </row>
    <row r="172" spans="1:14" x14ac:dyDescent="0.25">
      <c r="A172" t="s">
        <v>270</v>
      </c>
      <c r="B172" s="1" t="s">
        <v>261</v>
      </c>
      <c r="C172" t="s">
        <v>299</v>
      </c>
      <c r="D172" s="1" t="s">
        <v>87</v>
      </c>
      <c r="E172">
        <v>187.27270508000001</v>
      </c>
      <c r="F172">
        <v>207.50273132000001</v>
      </c>
      <c r="G172">
        <v>192.47543335</v>
      </c>
      <c r="H172">
        <v>209.28697205</v>
      </c>
      <c r="I172">
        <v>205.99945068</v>
      </c>
      <c r="J172">
        <v>227.24800110000001</v>
      </c>
      <c r="K172">
        <v>228.46922301999999</v>
      </c>
      <c r="L172">
        <v>243.09941101000001</v>
      </c>
      <c r="M172">
        <v>252.98246764999999</v>
      </c>
      <c r="N172" t="s">
        <v>432</v>
      </c>
    </row>
    <row r="173" spans="1:14" x14ac:dyDescent="0.25">
      <c r="A173" t="s">
        <v>270</v>
      </c>
      <c r="B173" s="1" t="s">
        <v>261</v>
      </c>
      <c r="C173" t="s">
        <v>289</v>
      </c>
      <c r="D173" s="1" t="s">
        <v>185</v>
      </c>
      <c r="E173">
        <v>66.335999999999999</v>
      </c>
      <c r="F173">
        <v>66.582999999999998</v>
      </c>
      <c r="G173">
        <v>66.816000000000003</v>
      </c>
      <c r="H173">
        <v>67.043000000000006</v>
      </c>
      <c r="I173">
        <v>67.337000000000003</v>
      </c>
      <c r="J173">
        <v>67.072999999999993</v>
      </c>
      <c r="K173">
        <v>67.072000000000003</v>
      </c>
      <c r="L173">
        <v>67.712999999999994</v>
      </c>
      <c r="M173">
        <v>68.337000000000003</v>
      </c>
      <c r="N173" t="s">
        <v>432</v>
      </c>
    </row>
    <row r="174" spans="1:14" x14ac:dyDescent="0.25">
      <c r="A174" t="s">
        <v>214</v>
      </c>
      <c r="B174" s="1" t="s">
        <v>402</v>
      </c>
      <c r="C174" t="s">
        <v>299</v>
      </c>
      <c r="D174" s="1" t="s">
        <v>87</v>
      </c>
      <c r="E174">
        <v>19.677255630000001</v>
      </c>
      <c r="F174">
        <v>20.770860670000001</v>
      </c>
      <c r="G174">
        <v>21.553316120000002</v>
      </c>
      <c r="H174">
        <v>22.17474365</v>
      </c>
      <c r="I174">
        <v>23.218612669999999</v>
      </c>
      <c r="J174">
        <v>28.916969300000002</v>
      </c>
      <c r="K174">
        <v>29.77283478</v>
      </c>
      <c r="L174">
        <v>29.578117370000001</v>
      </c>
      <c r="M174">
        <v>25.74407768</v>
      </c>
      <c r="N174" t="s">
        <v>432</v>
      </c>
    </row>
    <row r="175" spans="1:14" x14ac:dyDescent="0.25">
      <c r="A175" t="s">
        <v>214</v>
      </c>
      <c r="B175" s="1" t="s">
        <v>402</v>
      </c>
      <c r="C175" t="s">
        <v>289</v>
      </c>
      <c r="D175" s="1" t="s">
        <v>185</v>
      </c>
      <c r="E175">
        <v>62.970999999999997</v>
      </c>
      <c r="F175">
        <v>63.386000000000003</v>
      </c>
      <c r="G175">
        <v>63.707999999999998</v>
      </c>
      <c r="H175">
        <v>64.034000000000006</v>
      </c>
      <c r="I175">
        <v>64.427000000000007</v>
      </c>
      <c r="J175">
        <v>64.418000000000006</v>
      </c>
      <c r="K175">
        <v>63.847000000000001</v>
      </c>
      <c r="L175">
        <v>64.858999999999995</v>
      </c>
      <c r="M175">
        <v>65.86</v>
      </c>
      <c r="N175" t="s">
        <v>432</v>
      </c>
    </row>
    <row r="176" spans="1:14" x14ac:dyDescent="0.25">
      <c r="A176" t="s">
        <v>164</v>
      </c>
      <c r="B176" s="1" t="s">
        <v>175</v>
      </c>
      <c r="C176" t="s">
        <v>299</v>
      </c>
      <c r="D176" s="1" t="s">
        <v>87</v>
      </c>
      <c r="E176">
        <v>347.71783447000001</v>
      </c>
      <c r="F176">
        <v>369.51849364999998</v>
      </c>
      <c r="G176">
        <v>377.92520142000001</v>
      </c>
      <c r="H176">
        <v>365.91583251999998</v>
      </c>
      <c r="I176">
        <v>339.86679077000002</v>
      </c>
      <c r="J176">
        <v>389.42260742000002</v>
      </c>
      <c r="K176">
        <v>524.32415771000001</v>
      </c>
      <c r="L176">
        <v>546.22503661999997</v>
      </c>
      <c r="M176">
        <v>554.32482909999999</v>
      </c>
      <c r="N176" t="s">
        <v>432</v>
      </c>
    </row>
    <row r="177" spans="1:14" x14ac:dyDescent="0.25">
      <c r="A177" t="s">
        <v>164</v>
      </c>
      <c r="B177" s="1" t="s">
        <v>175</v>
      </c>
      <c r="C177" t="s">
        <v>289</v>
      </c>
      <c r="D177" s="1" t="s">
        <v>185</v>
      </c>
      <c r="E177">
        <v>73.241</v>
      </c>
      <c r="F177">
        <v>73.135999999999996</v>
      </c>
      <c r="G177">
        <v>73.435000000000002</v>
      </c>
      <c r="H177">
        <v>73.984999999999999</v>
      </c>
      <c r="I177">
        <v>74.165000000000006</v>
      </c>
      <c r="J177">
        <v>73.509</v>
      </c>
      <c r="K177">
        <v>71.635000000000005</v>
      </c>
      <c r="L177">
        <v>74.141000000000005</v>
      </c>
      <c r="M177">
        <v>74.495999999999995</v>
      </c>
      <c r="N177" t="s">
        <v>432</v>
      </c>
    </row>
    <row r="178" spans="1:14" x14ac:dyDescent="0.25">
      <c r="A178" t="s">
        <v>7</v>
      </c>
      <c r="B178" s="1" t="s">
        <v>42</v>
      </c>
      <c r="C178" t="s">
        <v>299</v>
      </c>
      <c r="D178" s="1" t="s">
        <v>87</v>
      </c>
      <c r="E178">
        <v>4605.5903320300004</v>
      </c>
      <c r="F178">
        <v>4723.32421875</v>
      </c>
      <c r="G178">
        <v>5039.3530273400002</v>
      </c>
      <c r="H178">
        <v>5473.5571289099998</v>
      </c>
      <c r="I178">
        <v>5447.3178710900002</v>
      </c>
      <c r="J178">
        <v>5906.8061523400002</v>
      </c>
      <c r="K178">
        <v>6653.5834960900002</v>
      </c>
      <c r="L178">
        <v>6226.1420898400002</v>
      </c>
      <c r="M178">
        <v>6394.6225585900002</v>
      </c>
      <c r="N178">
        <v>6849.2636718800004</v>
      </c>
    </row>
    <row r="179" spans="1:14" x14ac:dyDescent="0.25">
      <c r="A179" t="s">
        <v>7</v>
      </c>
      <c r="B179" s="1" t="s">
        <v>42</v>
      </c>
      <c r="C179" t="s">
        <v>289</v>
      </c>
      <c r="D179" s="1" t="s">
        <v>185</v>
      </c>
      <c r="E179">
        <v>80.641463414634146</v>
      </c>
      <c r="F179">
        <v>80.990243902439033</v>
      </c>
      <c r="G179">
        <v>80.992682926829289</v>
      </c>
      <c r="H179">
        <v>80.892682926829266</v>
      </c>
      <c r="I179">
        <v>81.292682926829272</v>
      </c>
      <c r="J179">
        <v>81.041463414634151</v>
      </c>
      <c r="K179">
        <v>80.79024390243903</v>
      </c>
      <c r="L179">
        <v>80.608048780487806</v>
      </c>
      <c r="M179">
        <v>80.541463414634165</v>
      </c>
      <c r="N179" t="s">
        <v>432</v>
      </c>
    </row>
    <row r="180" spans="1:14" x14ac:dyDescent="0.25">
      <c r="A180" t="s">
        <v>220</v>
      </c>
      <c r="B180" s="1" t="s">
        <v>230</v>
      </c>
      <c r="C180" t="s">
        <v>299</v>
      </c>
      <c r="D180" s="1" t="s">
        <v>87</v>
      </c>
      <c r="E180">
        <v>78.21643066</v>
      </c>
      <c r="F180">
        <v>64.864006040000007</v>
      </c>
      <c r="G180">
        <v>54.10602188</v>
      </c>
      <c r="H180">
        <v>53.377887729999998</v>
      </c>
      <c r="I180">
        <v>71.149581909999995</v>
      </c>
      <c r="J180">
        <v>97.376777649999994</v>
      </c>
      <c r="K180">
        <v>94.40388489</v>
      </c>
      <c r="L180">
        <v>82.32108307</v>
      </c>
      <c r="M180">
        <v>70.257308960000003</v>
      </c>
      <c r="N180" t="s">
        <v>432</v>
      </c>
    </row>
    <row r="181" spans="1:14" x14ac:dyDescent="0.25">
      <c r="A181" t="s">
        <v>220</v>
      </c>
      <c r="B181" s="1" t="s">
        <v>230</v>
      </c>
      <c r="C181" t="s">
        <v>289</v>
      </c>
      <c r="D181" s="1" t="s">
        <v>185</v>
      </c>
      <c r="E181">
        <v>63.174999999999997</v>
      </c>
      <c r="F181">
        <v>63.521999999999998</v>
      </c>
      <c r="G181">
        <v>63.829000000000001</v>
      </c>
      <c r="H181">
        <v>64.138000000000005</v>
      </c>
      <c r="I181">
        <v>64.454999999999998</v>
      </c>
      <c r="J181">
        <v>64.308999999999997</v>
      </c>
      <c r="K181">
        <v>64.286000000000001</v>
      </c>
      <c r="L181">
        <v>65.245999999999995</v>
      </c>
      <c r="M181">
        <v>65.498000000000005</v>
      </c>
      <c r="N181" t="s">
        <v>432</v>
      </c>
    </row>
    <row r="182" spans="1:14" x14ac:dyDescent="0.25">
      <c r="A182" t="s">
        <v>481</v>
      </c>
      <c r="B182" s="1" t="s">
        <v>482</v>
      </c>
      <c r="C182" t="s">
        <v>299</v>
      </c>
      <c r="D182" s="1" t="s">
        <v>87</v>
      </c>
      <c r="E182" t="s">
        <v>432</v>
      </c>
      <c r="F182" t="s">
        <v>432</v>
      </c>
      <c r="G182" t="s">
        <v>432</v>
      </c>
      <c r="H182" t="s">
        <v>432</v>
      </c>
      <c r="I182" t="s">
        <v>432</v>
      </c>
      <c r="J182" t="s">
        <v>432</v>
      </c>
      <c r="K182" t="s">
        <v>432</v>
      </c>
      <c r="L182" t="s">
        <v>432</v>
      </c>
      <c r="M182" t="s">
        <v>432</v>
      </c>
      <c r="N182" t="s">
        <v>432</v>
      </c>
    </row>
    <row r="183" spans="1:14" x14ac:dyDescent="0.25">
      <c r="A183" t="s">
        <v>481</v>
      </c>
      <c r="B183" s="1" t="s">
        <v>482</v>
      </c>
      <c r="C183" t="s">
        <v>289</v>
      </c>
      <c r="D183" s="1" t="s">
        <v>185</v>
      </c>
      <c r="E183">
        <v>82.668000000000006</v>
      </c>
      <c r="F183">
        <v>82.741</v>
      </c>
      <c r="G183">
        <v>82.858000000000004</v>
      </c>
      <c r="H183">
        <v>83.028000000000006</v>
      </c>
      <c r="I183">
        <v>83.183000000000007</v>
      </c>
      <c r="J183">
        <v>83.07</v>
      </c>
      <c r="K183">
        <v>80.274000000000001</v>
      </c>
      <c r="L183">
        <v>83.516999999999996</v>
      </c>
      <c r="M183">
        <v>83.552999999999997</v>
      </c>
      <c r="N183" t="s">
        <v>432</v>
      </c>
    </row>
    <row r="184" spans="1:14" x14ac:dyDescent="0.25">
      <c r="A184" t="s">
        <v>292</v>
      </c>
      <c r="B184" s="1" t="s">
        <v>333</v>
      </c>
      <c r="C184" t="s">
        <v>299</v>
      </c>
      <c r="D184" s="1" t="s">
        <v>87</v>
      </c>
      <c r="E184">
        <v>1481.4196777300001</v>
      </c>
      <c r="F184">
        <v>1513.25939941</v>
      </c>
      <c r="G184">
        <v>1509.7844238299999</v>
      </c>
      <c r="H184">
        <v>1603.0778808600001</v>
      </c>
      <c r="I184">
        <v>1569.0284423799999</v>
      </c>
      <c r="J184">
        <v>1674.78417969</v>
      </c>
      <c r="K184">
        <v>1846.3730468799999</v>
      </c>
      <c r="L184">
        <v>1768.1107177700001</v>
      </c>
      <c r="M184">
        <v>1962.5959472699999</v>
      </c>
      <c r="N184" t="s">
        <v>432</v>
      </c>
    </row>
    <row r="185" spans="1:14" x14ac:dyDescent="0.25">
      <c r="A185" t="s">
        <v>292</v>
      </c>
      <c r="B185" s="1" t="s">
        <v>333</v>
      </c>
      <c r="C185" t="s">
        <v>289</v>
      </c>
      <c r="D185" s="1" t="s">
        <v>185</v>
      </c>
      <c r="E185">
        <v>81.036585365853668</v>
      </c>
      <c r="F185">
        <v>81.387804878048797</v>
      </c>
      <c r="G185">
        <v>81.287804878048775</v>
      </c>
      <c r="H185">
        <v>81.787804878048803</v>
      </c>
      <c r="I185">
        <v>81.639024390243918</v>
      </c>
      <c r="J185">
        <v>81.287804878048775</v>
      </c>
      <c r="K185">
        <v>80.082926829268303</v>
      </c>
      <c r="L185">
        <v>80.787804878048789</v>
      </c>
      <c r="M185">
        <v>81.536585365853668</v>
      </c>
      <c r="N185" t="s">
        <v>432</v>
      </c>
    </row>
    <row r="186" spans="1:14" x14ac:dyDescent="0.25">
      <c r="A186" t="s">
        <v>483</v>
      </c>
      <c r="B186" s="1" t="s">
        <v>484</v>
      </c>
      <c r="C186" t="s">
        <v>299</v>
      </c>
      <c r="D186" s="1" t="s">
        <v>87</v>
      </c>
      <c r="E186" t="s">
        <v>432</v>
      </c>
      <c r="F186" t="s">
        <v>432</v>
      </c>
      <c r="G186" t="s">
        <v>432</v>
      </c>
      <c r="H186" t="s">
        <v>432</v>
      </c>
      <c r="I186" t="s">
        <v>432</v>
      </c>
      <c r="J186" t="s">
        <v>432</v>
      </c>
      <c r="K186" t="s">
        <v>432</v>
      </c>
      <c r="L186" t="s">
        <v>432</v>
      </c>
      <c r="M186" t="s">
        <v>432</v>
      </c>
      <c r="N186" t="s">
        <v>432</v>
      </c>
    </row>
    <row r="187" spans="1:14" x14ac:dyDescent="0.25">
      <c r="A187" t="s">
        <v>483</v>
      </c>
      <c r="B187" s="1" t="s">
        <v>484</v>
      </c>
      <c r="C187" t="s">
        <v>289</v>
      </c>
      <c r="D187" s="1" t="s">
        <v>185</v>
      </c>
      <c r="E187">
        <v>71.479024390243907</v>
      </c>
      <c r="F187">
        <v>71.838536585365858</v>
      </c>
      <c r="G187">
        <v>71.932195121951239</v>
      </c>
      <c r="H187">
        <v>71.967560975609757</v>
      </c>
      <c r="I187">
        <v>71.944390243902447</v>
      </c>
      <c r="J187">
        <v>71.850731707317081</v>
      </c>
      <c r="K187">
        <v>71.813902439024403</v>
      </c>
      <c r="L187">
        <v>71.540487804878069</v>
      </c>
      <c r="M187">
        <v>71.549756097560987</v>
      </c>
      <c r="N187" t="s">
        <v>432</v>
      </c>
    </row>
    <row r="188" spans="1:14" x14ac:dyDescent="0.25">
      <c r="A188" t="s">
        <v>153</v>
      </c>
      <c r="B188" s="1" t="s">
        <v>225</v>
      </c>
      <c r="C188" t="s">
        <v>299</v>
      </c>
      <c r="D188" s="1" t="s">
        <v>87</v>
      </c>
      <c r="E188">
        <v>404.00680541999998</v>
      </c>
      <c r="F188">
        <v>409.27841187000001</v>
      </c>
      <c r="G188">
        <v>454.07266234999997</v>
      </c>
      <c r="H188">
        <v>462.2394104</v>
      </c>
      <c r="I188">
        <v>515.94726562999995</v>
      </c>
      <c r="J188">
        <v>475.83853148999998</v>
      </c>
      <c r="K188">
        <v>508.09500121999997</v>
      </c>
      <c r="L188">
        <v>526.35113524999997</v>
      </c>
      <c r="M188">
        <v>526.39184569999998</v>
      </c>
      <c r="N188" t="s">
        <v>432</v>
      </c>
    </row>
    <row r="189" spans="1:14" x14ac:dyDescent="0.25">
      <c r="A189" t="s">
        <v>153</v>
      </c>
      <c r="B189" s="1" t="s">
        <v>225</v>
      </c>
      <c r="C189" t="s">
        <v>289</v>
      </c>
      <c r="D189" s="1" t="s">
        <v>185</v>
      </c>
      <c r="E189">
        <v>75.037000000000006</v>
      </c>
      <c r="F189">
        <v>75.010000000000005</v>
      </c>
      <c r="G189">
        <v>74.977000000000004</v>
      </c>
      <c r="H189">
        <v>74.956999999999994</v>
      </c>
      <c r="I189">
        <v>74.971000000000004</v>
      </c>
      <c r="J189">
        <v>75.019000000000005</v>
      </c>
      <c r="K189">
        <v>74.522000000000006</v>
      </c>
      <c r="L189">
        <v>75.150999999999996</v>
      </c>
      <c r="M189">
        <v>75.204999999999998</v>
      </c>
      <c r="N189" t="s">
        <v>432</v>
      </c>
    </row>
    <row r="190" spans="1:14" x14ac:dyDescent="0.25">
      <c r="A190" t="s">
        <v>485</v>
      </c>
      <c r="B190" s="1" t="s">
        <v>486</v>
      </c>
      <c r="C190" t="s">
        <v>299</v>
      </c>
      <c r="D190" s="1" t="s">
        <v>87</v>
      </c>
      <c r="E190" t="s">
        <v>432</v>
      </c>
      <c r="F190" t="s">
        <v>432</v>
      </c>
      <c r="G190" t="s">
        <v>432</v>
      </c>
      <c r="H190" t="s">
        <v>432</v>
      </c>
      <c r="I190" t="s">
        <v>432</v>
      </c>
      <c r="J190" t="s">
        <v>432</v>
      </c>
      <c r="K190" t="s">
        <v>432</v>
      </c>
      <c r="L190" t="s">
        <v>432</v>
      </c>
      <c r="M190" t="s">
        <v>432</v>
      </c>
      <c r="N190" t="s">
        <v>432</v>
      </c>
    </row>
    <row r="191" spans="1:14" x14ac:dyDescent="0.25">
      <c r="A191" t="s">
        <v>485</v>
      </c>
      <c r="B191" s="1" t="s">
        <v>486</v>
      </c>
      <c r="C191" t="s">
        <v>289</v>
      </c>
      <c r="D191" s="1" t="s">
        <v>185</v>
      </c>
      <c r="E191">
        <v>76.444000000000003</v>
      </c>
      <c r="F191">
        <v>76.448999999999998</v>
      </c>
      <c r="G191">
        <v>76.462999999999994</v>
      </c>
      <c r="H191">
        <v>76.561000000000007</v>
      </c>
      <c r="I191">
        <v>76.644999999999996</v>
      </c>
      <c r="J191">
        <v>75.528999999999996</v>
      </c>
      <c r="K191">
        <v>75.433999999999997</v>
      </c>
      <c r="L191">
        <v>77.102000000000004</v>
      </c>
      <c r="M191">
        <v>77.209000000000003</v>
      </c>
      <c r="N191" t="s">
        <v>432</v>
      </c>
    </row>
    <row r="192" spans="1:14" x14ac:dyDescent="0.25">
      <c r="A192" t="s">
        <v>77</v>
      </c>
      <c r="B192" s="1" t="s">
        <v>224</v>
      </c>
      <c r="C192" t="s">
        <v>299</v>
      </c>
      <c r="D192" s="1" t="s">
        <v>87</v>
      </c>
      <c r="E192">
        <v>233.84478759999999</v>
      </c>
      <c r="F192">
        <v>246.4538269</v>
      </c>
      <c r="G192">
        <v>265.36593628000003</v>
      </c>
      <c r="H192">
        <v>265.81820678999998</v>
      </c>
      <c r="I192">
        <v>278.59024047999998</v>
      </c>
      <c r="J192">
        <v>289.21640015000003</v>
      </c>
      <c r="K192">
        <v>361.51858521000003</v>
      </c>
      <c r="L192">
        <v>384.06158447000001</v>
      </c>
      <c r="M192">
        <v>392.01223755000001</v>
      </c>
      <c r="N192" t="s">
        <v>432</v>
      </c>
    </row>
    <row r="193" spans="1:14" x14ac:dyDescent="0.25">
      <c r="A193" t="s">
        <v>77</v>
      </c>
      <c r="B193" s="1" t="s">
        <v>224</v>
      </c>
      <c r="C193" t="s">
        <v>289</v>
      </c>
      <c r="D193" s="1" t="s">
        <v>185</v>
      </c>
      <c r="E193">
        <v>70.915000000000006</v>
      </c>
      <c r="F193">
        <v>71.215000000000003</v>
      </c>
      <c r="G193">
        <v>71.582999999999998</v>
      </c>
      <c r="H193">
        <v>71.495999999999995</v>
      </c>
      <c r="I193">
        <v>71.638999999999996</v>
      </c>
      <c r="J193">
        <v>69.971000000000004</v>
      </c>
      <c r="K193">
        <v>67.858000000000004</v>
      </c>
      <c r="L193">
        <v>71.206000000000003</v>
      </c>
      <c r="M193">
        <v>72.602000000000004</v>
      </c>
      <c r="N193" t="s">
        <v>432</v>
      </c>
    </row>
    <row r="194" spans="1:14" x14ac:dyDescent="0.25">
      <c r="A194" t="s">
        <v>200</v>
      </c>
      <c r="B194" s="1" t="s">
        <v>48</v>
      </c>
      <c r="C194" t="s">
        <v>299</v>
      </c>
      <c r="D194" s="1" t="s">
        <v>87</v>
      </c>
      <c r="E194">
        <v>43.415405270000001</v>
      </c>
      <c r="F194">
        <v>38.426094059999997</v>
      </c>
      <c r="G194">
        <v>32.636463169999999</v>
      </c>
      <c r="H194">
        <v>34.88978195</v>
      </c>
      <c r="I194">
        <v>42.16910172</v>
      </c>
      <c r="J194">
        <v>41.102756499999998</v>
      </c>
      <c r="K194">
        <v>44.104763030000001</v>
      </c>
      <c r="L194">
        <v>53.292228700000003</v>
      </c>
      <c r="M194">
        <v>59.33010101</v>
      </c>
      <c r="N194" t="s">
        <v>432</v>
      </c>
    </row>
    <row r="195" spans="1:14" x14ac:dyDescent="0.25">
      <c r="A195" t="s">
        <v>200</v>
      </c>
      <c r="B195" s="1" t="s">
        <v>48</v>
      </c>
      <c r="C195" t="s">
        <v>289</v>
      </c>
      <c r="D195" s="1" t="s">
        <v>185</v>
      </c>
      <c r="E195">
        <v>57.899000000000001</v>
      </c>
      <c r="F195">
        <v>58.49</v>
      </c>
      <c r="G195">
        <v>58.715000000000003</v>
      </c>
      <c r="H195">
        <v>59.042999999999999</v>
      </c>
      <c r="I195">
        <v>59.378999999999998</v>
      </c>
      <c r="J195">
        <v>59.35</v>
      </c>
      <c r="K195">
        <v>59.372999999999998</v>
      </c>
      <c r="L195">
        <v>60.432000000000002</v>
      </c>
      <c r="M195">
        <v>60.74</v>
      </c>
      <c r="N195" t="s">
        <v>432</v>
      </c>
    </row>
    <row r="196" spans="1:14" x14ac:dyDescent="0.25">
      <c r="A196" t="s">
        <v>72</v>
      </c>
      <c r="B196" s="1" t="s">
        <v>68</v>
      </c>
      <c r="C196" t="s">
        <v>299</v>
      </c>
      <c r="D196" s="1" t="s">
        <v>87</v>
      </c>
      <c r="E196">
        <v>52.458667759999997</v>
      </c>
      <c r="F196">
        <v>56.608055110000002</v>
      </c>
      <c r="G196">
        <v>54.822517400000002</v>
      </c>
      <c r="H196">
        <v>58.874450680000002</v>
      </c>
      <c r="I196">
        <v>53.983909609999998</v>
      </c>
      <c r="J196">
        <v>67.887954710000002</v>
      </c>
      <c r="K196">
        <v>70.211891170000001</v>
      </c>
      <c r="L196">
        <v>68.010490419999996</v>
      </c>
      <c r="M196">
        <v>82.135437010000004</v>
      </c>
      <c r="N196" t="s">
        <v>432</v>
      </c>
    </row>
    <row r="197" spans="1:14" x14ac:dyDescent="0.25">
      <c r="A197" t="s">
        <v>72</v>
      </c>
      <c r="B197" s="1" t="s">
        <v>68</v>
      </c>
      <c r="C197" t="s">
        <v>289</v>
      </c>
      <c r="D197" s="1" t="s">
        <v>185</v>
      </c>
      <c r="E197">
        <v>60.070999999999998</v>
      </c>
      <c r="F197">
        <v>60.619</v>
      </c>
      <c r="G197">
        <v>61.148000000000003</v>
      </c>
      <c r="H197">
        <v>61.652000000000001</v>
      </c>
      <c r="I197">
        <v>62.161000000000001</v>
      </c>
      <c r="J197">
        <v>61.343000000000004</v>
      </c>
      <c r="K197">
        <v>61.652999999999999</v>
      </c>
      <c r="L197">
        <v>63.604999999999997</v>
      </c>
      <c r="M197">
        <v>64.084999999999994</v>
      </c>
      <c r="N197" t="s">
        <v>432</v>
      </c>
    </row>
    <row r="198" spans="1:14" x14ac:dyDescent="0.25">
      <c r="A198" t="s">
        <v>125</v>
      </c>
      <c r="B198" s="1" t="s">
        <v>260</v>
      </c>
      <c r="C198" t="s">
        <v>299</v>
      </c>
      <c r="D198" s="1" t="s">
        <v>87</v>
      </c>
      <c r="E198">
        <v>226.89404296999999</v>
      </c>
      <c r="F198">
        <v>235.91662597999999</v>
      </c>
      <c r="G198">
        <v>266.86364745999998</v>
      </c>
      <c r="H198">
        <v>296.66903687000001</v>
      </c>
      <c r="I198">
        <v>314.09774779999998</v>
      </c>
      <c r="J198">
        <v>364.20135498000002</v>
      </c>
      <c r="K198">
        <v>457.86633301000001</v>
      </c>
      <c r="L198">
        <v>452.23754882999998</v>
      </c>
      <c r="M198">
        <v>505.03240966999999</v>
      </c>
      <c r="N198" t="s">
        <v>432</v>
      </c>
    </row>
    <row r="199" spans="1:14" x14ac:dyDescent="0.25">
      <c r="A199" t="s">
        <v>125</v>
      </c>
      <c r="B199" s="1" t="s">
        <v>260</v>
      </c>
      <c r="C199" t="s">
        <v>289</v>
      </c>
      <c r="D199" s="1" t="s">
        <v>185</v>
      </c>
      <c r="E199">
        <v>67.718999999999994</v>
      </c>
      <c r="F199">
        <v>68.069000000000003</v>
      </c>
      <c r="G199">
        <v>68.543000000000006</v>
      </c>
      <c r="H199">
        <v>68.828999999999994</v>
      </c>
      <c r="I199">
        <v>69.066999999999993</v>
      </c>
      <c r="J199">
        <v>67.751000000000005</v>
      </c>
      <c r="K199">
        <v>64.322999999999993</v>
      </c>
      <c r="L199">
        <v>69.888000000000005</v>
      </c>
      <c r="M199">
        <v>70.180000000000007</v>
      </c>
      <c r="N199" t="s">
        <v>432</v>
      </c>
    </row>
    <row r="200" spans="1:14" x14ac:dyDescent="0.25">
      <c r="A200" t="s">
        <v>186</v>
      </c>
      <c r="B200" s="1" t="s">
        <v>23</v>
      </c>
      <c r="C200" t="s">
        <v>299</v>
      </c>
      <c r="D200" s="1" t="s">
        <v>87</v>
      </c>
      <c r="E200">
        <v>68.505477909999996</v>
      </c>
      <c r="F200">
        <v>60.06819153</v>
      </c>
      <c r="G200">
        <v>53.805797579999997</v>
      </c>
      <c r="H200">
        <v>62.30102539</v>
      </c>
      <c r="I200">
        <v>49.329959870000003</v>
      </c>
      <c r="J200">
        <v>52.215869900000001</v>
      </c>
      <c r="K200">
        <v>59.894062040000001</v>
      </c>
      <c r="L200">
        <v>52.284175869999999</v>
      </c>
      <c r="M200">
        <v>54.414684299999998</v>
      </c>
      <c r="N200" t="s">
        <v>432</v>
      </c>
    </row>
    <row r="201" spans="1:14" x14ac:dyDescent="0.25">
      <c r="A201" t="s">
        <v>186</v>
      </c>
      <c r="B201" s="1" t="s">
        <v>23</v>
      </c>
      <c r="C201" t="s">
        <v>289</v>
      </c>
      <c r="D201" s="1" t="s">
        <v>185</v>
      </c>
      <c r="E201">
        <v>63.223999999999997</v>
      </c>
      <c r="F201">
        <v>63.325000000000003</v>
      </c>
      <c r="G201">
        <v>63.832000000000001</v>
      </c>
      <c r="H201">
        <v>64.076999999999998</v>
      </c>
      <c r="I201">
        <v>64.328000000000003</v>
      </c>
      <c r="J201">
        <v>63.773000000000003</v>
      </c>
      <c r="K201">
        <v>62.613</v>
      </c>
      <c r="L201">
        <v>63.948</v>
      </c>
      <c r="M201">
        <v>64.936000000000007</v>
      </c>
      <c r="N201" t="s">
        <v>432</v>
      </c>
    </row>
    <row r="202" spans="1:14" x14ac:dyDescent="0.25">
      <c r="A202" t="s">
        <v>487</v>
      </c>
      <c r="B202" s="1" t="s">
        <v>488</v>
      </c>
      <c r="C202" t="s">
        <v>299</v>
      </c>
      <c r="D202" s="1" t="s">
        <v>87</v>
      </c>
      <c r="E202">
        <v>46.126531285040997</v>
      </c>
      <c r="F202">
        <v>45.424565017944204</v>
      </c>
      <c r="G202">
        <v>44.216044367185297</v>
      </c>
      <c r="H202">
        <v>43.357295693687021</v>
      </c>
      <c r="I202">
        <v>44.646060024210222</v>
      </c>
      <c r="J202">
        <v>47.771707193541211</v>
      </c>
      <c r="K202">
        <v>51.339899263634649</v>
      </c>
      <c r="L202">
        <v>50.202795177184782</v>
      </c>
      <c r="M202">
        <v>51.349633038905367</v>
      </c>
      <c r="N202" t="s">
        <v>432</v>
      </c>
    </row>
    <row r="203" spans="1:14" x14ac:dyDescent="0.25">
      <c r="A203" t="s">
        <v>487</v>
      </c>
      <c r="B203" s="1" t="s">
        <v>488</v>
      </c>
      <c r="C203" t="s">
        <v>289</v>
      </c>
      <c r="D203" s="1" t="s">
        <v>185</v>
      </c>
      <c r="E203">
        <v>61.561793936137015</v>
      </c>
      <c r="F203">
        <v>62.003808372755408</v>
      </c>
      <c r="G203">
        <v>62.315195665940074</v>
      </c>
      <c r="H203">
        <v>62.798544258221952</v>
      </c>
      <c r="I203">
        <v>63.089800418327769</v>
      </c>
      <c r="J203">
        <v>63.072631969001634</v>
      </c>
      <c r="K203">
        <v>62.531373570063685</v>
      </c>
      <c r="L203">
        <v>63.840445855546243</v>
      </c>
      <c r="M203">
        <v>64.715905417748132</v>
      </c>
      <c r="N203" t="s">
        <v>432</v>
      </c>
    </row>
    <row r="204" spans="1:14" x14ac:dyDescent="0.25">
      <c r="A204" t="s">
        <v>489</v>
      </c>
      <c r="B204" s="1" t="s">
        <v>490</v>
      </c>
      <c r="C204" t="s">
        <v>299</v>
      </c>
      <c r="D204" s="1" t="s">
        <v>87</v>
      </c>
      <c r="E204">
        <v>4379.0149696091685</v>
      </c>
      <c r="F204">
        <v>4508.9772940993553</v>
      </c>
      <c r="G204">
        <v>4675.5580287325101</v>
      </c>
      <c r="H204">
        <v>4909.2379358228573</v>
      </c>
      <c r="I204">
        <v>5007.5415147102613</v>
      </c>
      <c r="J204">
        <v>5459.2036385313859</v>
      </c>
      <c r="K204">
        <v>5898.0759300397622</v>
      </c>
      <c r="L204">
        <v>5837.6687862109156</v>
      </c>
      <c r="M204">
        <v>6100.7162482387203</v>
      </c>
      <c r="N204" t="s">
        <v>432</v>
      </c>
    </row>
    <row r="205" spans="1:14" x14ac:dyDescent="0.25">
      <c r="A205" t="s">
        <v>489</v>
      </c>
      <c r="B205" s="1" t="s">
        <v>490</v>
      </c>
      <c r="C205" t="s">
        <v>289</v>
      </c>
      <c r="D205" s="1" t="s">
        <v>185</v>
      </c>
      <c r="E205">
        <v>79.524374620671708</v>
      </c>
      <c r="F205">
        <v>79.724372435349537</v>
      </c>
      <c r="G205">
        <v>79.85384106603469</v>
      </c>
      <c r="H205">
        <v>79.966802057292284</v>
      </c>
      <c r="I205">
        <v>80.199426312669118</v>
      </c>
      <c r="J205">
        <v>79.204311668678187</v>
      </c>
      <c r="K205">
        <v>78.799987524509206</v>
      </c>
      <c r="L205">
        <v>79.430973910637206</v>
      </c>
      <c r="M205">
        <v>80.149888800966139</v>
      </c>
      <c r="N205" t="s">
        <v>432</v>
      </c>
    </row>
    <row r="206" spans="1:14" x14ac:dyDescent="0.25">
      <c r="A206" t="s">
        <v>248</v>
      </c>
      <c r="B206" s="1" t="s">
        <v>5</v>
      </c>
      <c r="C206" t="s">
        <v>299</v>
      </c>
      <c r="D206" s="1" t="s">
        <v>87</v>
      </c>
      <c r="E206">
        <v>169.97198485999999</v>
      </c>
      <c r="F206">
        <v>177.8835144</v>
      </c>
      <c r="G206">
        <v>169.07194519000001</v>
      </c>
      <c r="H206">
        <v>178.14947509999999</v>
      </c>
      <c r="I206">
        <v>183.75006103999999</v>
      </c>
      <c r="J206">
        <v>212.7419281</v>
      </c>
      <c r="K206">
        <v>253.63349915000001</v>
      </c>
      <c r="L206">
        <v>244.90408325000001</v>
      </c>
      <c r="M206">
        <v>249.15301514000001</v>
      </c>
      <c r="N206" t="s">
        <v>432</v>
      </c>
    </row>
    <row r="207" spans="1:14" x14ac:dyDescent="0.25">
      <c r="A207" t="s">
        <v>248</v>
      </c>
      <c r="B207" s="1" t="s">
        <v>5</v>
      </c>
      <c r="C207" t="s">
        <v>289</v>
      </c>
      <c r="D207" s="1" t="s">
        <v>185</v>
      </c>
      <c r="E207">
        <v>71.322999999999993</v>
      </c>
      <c r="F207">
        <v>71.614999999999995</v>
      </c>
      <c r="G207">
        <v>71.805000000000007</v>
      </c>
      <c r="H207">
        <v>72.001000000000005</v>
      </c>
      <c r="I207">
        <v>72.123999999999995</v>
      </c>
      <c r="J207">
        <v>70.864000000000004</v>
      </c>
      <c r="K207">
        <v>69.492000000000004</v>
      </c>
      <c r="L207">
        <v>72.715000000000003</v>
      </c>
      <c r="M207">
        <v>72.884</v>
      </c>
      <c r="N207" t="s">
        <v>432</v>
      </c>
    </row>
    <row r="208" spans="1:14" x14ac:dyDescent="0.25">
      <c r="A208" t="s">
        <v>491</v>
      </c>
      <c r="B208" s="1" t="s">
        <v>492</v>
      </c>
      <c r="C208" t="s">
        <v>299</v>
      </c>
      <c r="D208" s="1" t="s">
        <v>87</v>
      </c>
      <c r="E208" t="s">
        <v>432</v>
      </c>
      <c r="F208" t="s">
        <v>432</v>
      </c>
      <c r="G208" t="s">
        <v>432</v>
      </c>
      <c r="H208" t="s">
        <v>432</v>
      </c>
      <c r="I208" t="s">
        <v>432</v>
      </c>
      <c r="J208" t="s">
        <v>432</v>
      </c>
      <c r="K208" t="s">
        <v>432</v>
      </c>
      <c r="L208" t="s">
        <v>432</v>
      </c>
      <c r="M208" t="s">
        <v>432</v>
      </c>
      <c r="N208" t="s">
        <v>432</v>
      </c>
    </row>
    <row r="209" spans="1:14" x14ac:dyDescent="0.25">
      <c r="A209" t="s">
        <v>491</v>
      </c>
      <c r="B209" s="1" t="s">
        <v>492</v>
      </c>
      <c r="C209" t="s">
        <v>289</v>
      </c>
      <c r="D209" s="1" t="s">
        <v>185</v>
      </c>
      <c r="E209">
        <v>84.25268292682928</v>
      </c>
      <c r="F209">
        <v>84.211463414634153</v>
      </c>
      <c r="G209">
        <v>84.695609756097568</v>
      </c>
      <c r="H209">
        <v>84.86975609756098</v>
      </c>
      <c r="I209">
        <v>85.1558536585366</v>
      </c>
      <c r="J209">
        <v>85.496341463414637</v>
      </c>
      <c r="K209">
        <v>85.532682926829267</v>
      </c>
      <c r="L209">
        <v>83.660975609756107</v>
      </c>
      <c r="M209">
        <v>85.247317073170748</v>
      </c>
      <c r="N209" t="s">
        <v>432</v>
      </c>
    </row>
    <row r="210" spans="1:14" x14ac:dyDescent="0.25">
      <c r="A210" t="s">
        <v>383</v>
      </c>
      <c r="B210" s="1" t="s">
        <v>188</v>
      </c>
      <c r="C210" t="s">
        <v>299</v>
      </c>
      <c r="D210" s="1" t="s">
        <v>87</v>
      </c>
      <c r="E210">
        <v>874.04138183999999</v>
      </c>
      <c r="F210">
        <v>918.94506836000005</v>
      </c>
      <c r="G210">
        <v>990.90808104999996</v>
      </c>
      <c r="H210">
        <v>1087.64611816</v>
      </c>
      <c r="I210">
        <v>1062.1586914100001</v>
      </c>
      <c r="J210">
        <v>1182.54138184</v>
      </c>
      <c r="K210">
        <v>1392.9746093799999</v>
      </c>
      <c r="L210">
        <v>1228.00231934</v>
      </c>
      <c r="M210">
        <v>1419.8747558600001</v>
      </c>
      <c r="N210" t="s">
        <v>432</v>
      </c>
    </row>
    <row r="211" spans="1:14" x14ac:dyDescent="0.25">
      <c r="A211" t="s">
        <v>383</v>
      </c>
      <c r="B211" s="1" t="s">
        <v>188</v>
      </c>
      <c r="C211" t="s">
        <v>289</v>
      </c>
      <c r="D211" s="1" t="s">
        <v>185</v>
      </c>
      <c r="E211">
        <v>75.568292682926852</v>
      </c>
      <c r="F211">
        <v>76.063414634146355</v>
      </c>
      <c r="G211">
        <v>75.817073170731717</v>
      </c>
      <c r="H211">
        <v>76.065853658536597</v>
      </c>
      <c r="I211">
        <v>76.319512195121945</v>
      </c>
      <c r="J211">
        <v>75.419512195121968</v>
      </c>
      <c r="K211">
        <v>74.065853658536582</v>
      </c>
      <c r="L211">
        <v>75.868292682926835</v>
      </c>
      <c r="M211">
        <v>76.770731707317083</v>
      </c>
      <c r="N211" t="s">
        <v>432</v>
      </c>
    </row>
    <row r="212" spans="1:14" x14ac:dyDescent="0.25">
      <c r="A212" t="s">
        <v>493</v>
      </c>
      <c r="B212" s="1" t="s">
        <v>494</v>
      </c>
      <c r="C212" t="s">
        <v>299</v>
      </c>
      <c r="D212" s="1" t="s">
        <v>87</v>
      </c>
      <c r="E212" t="s">
        <v>432</v>
      </c>
      <c r="F212" t="s">
        <v>432</v>
      </c>
      <c r="G212" t="s">
        <v>432</v>
      </c>
      <c r="H212" t="s">
        <v>432</v>
      </c>
      <c r="I212" t="s">
        <v>432</v>
      </c>
      <c r="J212" t="s">
        <v>432</v>
      </c>
      <c r="K212" t="s">
        <v>432</v>
      </c>
      <c r="L212" t="s">
        <v>432</v>
      </c>
      <c r="M212" t="s">
        <v>432</v>
      </c>
      <c r="N212" t="s">
        <v>432</v>
      </c>
    </row>
    <row r="213" spans="1:14" x14ac:dyDescent="0.25">
      <c r="A213" t="s">
        <v>493</v>
      </c>
      <c r="B213" s="1" t="s">
        <v>494</v>
      </c>
      <c r="C213" t="s">
        <v>289</v>
      </c>
      <c r="D213" s="1" t="s">
        <v>185</v>
      </c>
      <c r="E213" t="s">
        <v>432</v>
      </c>
      <c r="F213" t="s">
        <v>432</v>
      </c>
      <c r="G213" t="s">
        <v>432</v>
      </c>
      <c r="H213" t="s">
        <v>432</v>
      </c>
      <c r="I213" t="s">
        <v>432</v>
      </c>
      <c r="J213" t="s">
        <v>432</v>
      </c>
      <c r="K213" t="s">
        <v>432</v>
      </c>
      <c r="L213" t="s">
        <v>432</v>
      </c>
      <c r="M213" t="s">
        <v>432</v>
      </c>
      <c r="N213" t="s">
        <v>432</v>
      </c>
    </row>
    <row r="214" spans="1:14" x14ac:dyDescent="0.25">
      <c r="A214" t="s">
        <v>57</v>
      </c>
      <c r="B214" s="1" t="s">
        <v>359</v>
      </c>
      <c r="C214" t="s">
        <v>299</v>
      </c>
      <c r="D214" s="1" t="s">
        <v>87</v>
      </c>
      <c r="E214">
        <v>4303.8417968800004</v>
      </c>
      <c r="F214">
        <v>5053.5175781300004</v>
      </c>
      <c r="G214">
        <v>5992.0532226599998</v>
      </c>
      <c r="H214">
        <v>6280.0385742199996</v>
      </c>
      <c r="I214">
        <v>5912.0097656300004</v>
      </c>
      <c r="J214">
        <v>5692.8911132800004</v>
      </c>
      <c r="K214">
        <v>6722.421875</v>
      </c>
      <c r="L214">
        <v>6851.6293945300004</v>
      </c>
      <c r="M214">
        <v>7064.6240234400002</v>
      </c>
      <c r="N214">
        <v>7641.5737304699996</v>
      </c>
    </row>
    <row r="215" spans="1:14" x14ac:dyDescent="0.25">
      <c r="A215" t="s">
        <v>57</v>
      </c>
      <c r="B215" s="1" t="s">
        <v>359</v>
      </c>
      <c r="C215" t="s">
        <v>289</v>
      </c>
      <c r="D215" s="1" t="s">
        <v>185</v>
      </c>
      <c r="E215">
        <v>82.468292682926844</v>
      </c>
      <c r="F215">
        <v>82.2048780487805</v>
      </c>
      <c r="G215">
        <v>82.660975609756093</v>
      </c>
      <c r="H215">
        <v>82.86097560975611</v>
      </c>
      <c r="I215">
        <v>83.163414634146349</v>
      </c>
      <c r="J215">
        <v>83.063414634146341</v>
      </c>
      <c r="K215">
        <v>83.165853658536591</v>
      </c>
      <c r="L215">
        <v>82.11951219512197</v>
      </c>
      <c r="M215">
        <v>82.607317073170748</v>
      </c>
      <c r="N215" t="s">
        <v>432</v>
      </c>
    </row>
    <row r="216" spans="1:14" x14ac:dyDescent="0.25">
      <c r="A216" t="s">
        <v>495</v>
      </c>
      <c r="B216" s="1" t="s">
        <v>496</v>
      </c>
      <c r="C216" t="s">
        <v>299</v>
      </c>
      <c r="D216" s="1" t="s">
        <v>87</v>
      </c>
      <c r="E216">
        <v>235.72463054906464</v>
      </c>
      <c r="F216">
        <v>232.78747756748123</v>
      </c>
      <c r="G216">
        <v>252.49884366848664</v>
      </c>
      <c r="H216">
        <v>262.11811024882235</v>
      </c>
      <c r="I216">
        <v>269.77161578365025</v>
      </c>
      <c r="J216">
        <v>275.72500006235714</v>
      </c>
      <c r="K216">
        <v>315.35058629916449</v>
      </c>
      <c r="L216">
        <v>340.37615231389293</v>
      </c>
      <c r="M216">
        <v>351.423524102155</v>
      </c>
      <c r="N216" t="s">
        <v>432</v>
      </c>
    </row>
    <row r="217" spans="1:14" x14ac:dyDescent="0.25">
      <c r="A217" t="s">
        <v>495</v>
      </c>
      <c r="B217" s="1" t="s">
        <v>496</v>
      </c>
      <c r="C217" t="s">
        <v>289</v>
      </c>
      <c r="D217" s="1" t="s">
        <v>185</v>
      </c>
      <c r="E217">
        <v>70.37170920703096</v>
      </c>
      <c r="F217">
        <v>70.614038767052961</v>
      </c>
      <c r="G217">
        <v>70.830884898691949</v>
      </c>
      <c r="H217">
        <v>71.153007481447105</v>
      </c>
      <c r="I217">
        <v>71.393923783538568</v>
      </c>
      <c r="J217">
        <v>70.748828242799163</v>
      </c>
      <c r="K217">
        <v>69.667916839160327</v>
      </c>
      <c r="L217">
        <v>71.677581962506025</v>
      </c>
      <c r="M217">
        <v>72.00045161792012</v>
      </c>
      <c r="N217" t="s">
        <v>432</v>
      </c>
    </row>
    <row r="218" spans="1:14" x14ac:dyDescent="0.25">
      <c r="A218" t="s">
        <v>497</v>
      </c>
      <c r="B218" s="1" t="s">
        <v>498</v>
      </c>
      <c r="C218" t="s">
        <v>299</v>
      </c>
      <c r="D218" s="1" t="s">
        <v>87</v>
      </c>
      <c r="E218" t="s">
        <v>432</v>
      </c>
      <c r="F218" t="s">
        <v>432</v>
      </c>
      <c r="G218" t="s">
        <v>432</v>
      </c>
      <c r="H218" t="s">
        <v>432</v>
      </c>
      <c r="I218" t="s">
        <v>432</v>
      </c>
      <c r="J218" t="s">
        <v>432</v>
      </c>
      <c r="K218" t="s">
        <v>432</v>
      </c>
      <c r="L218" t="s">
        <v>432</v>
      </c>
      <c r="M218" t="s">
        <v>432</v>
      </c>
      <c r="N218" t="s">
        <v>432</v>
      </c>
    </row>
    <row r="219" spans="1:14" x14ac:dyDescent="0.25">
      <c r="A219" t="s">
        <v>497</v>
      </c>
      <c r="B219" s="1" t="s">
        <v>498</v>
      </c>
      <c r="C219" t="s">
        <v>289</v>
      </c>
      <c r="D219" s="1" t="s">
        <v>185</v>
      </c>
      <c r="E219" t="s">
        <v>432</v>
      </c>
      <c r="F219" t="s">
        <v>432</v>
      </c>
      <c r="G219" t="s">
        <v>432</v>
      </c>
      <c r="H219" t="s">
        <v>432</v>
      </c>
      <c r="I219" t="s">
        <v>432</v>
      </c>
      <c r="J219" t="s">
        <v>432</v>
      </c>
      <c r="K219" t="s">
        <v>432</v>
      </c>
      <c r="L219" t="s">
        <v>432</v>
      </c>
      <c r="M219" t="s">
        <v>432</v>
      </c>
      <c r="N219" t="s">
        <v>432</v>
      </c>
    </row>
    <row r="220" spans="1:14" x14ac:dyDescent="0.25">
      <c r="A220" t="s">
        <v>499</v>
      </c>
      <c r="B220" s="1" t="s">
        <v>500</v>
      </c>
      <c r="C220" t="s">
        <v>299</v>
      </c>
      <c r="D220" s="1" t="s">
        <v>87</v>
      </c>
      <c r="E220" t="s">
        <v>432</v>
      </c>
      <c r="F220" t="s">
        <v>432</v>
      </c>
      <c r="G220" t="s">
        <v>432</v>
      </c>
      <c r="H220" t="s">
        <v>432</v>
      </c>
      <c r="I220" t="s">
        <v>432</v>
      </c>
      <c r="J220" t="s">
        <v>432</v>
      </c>
      <c r="K220" t="s">
        <v>432</v>
      </c>
      <c r="L220" t="s">
        <v>432</v>
      </c>
      <c r="M220" t="s">
        <v>432</v>
      </c>
      <c r="N220" t="s">
        <v>432</v>
      </c>
    </row>
    <row r="221" spans="1:14" x14ac:dyDescent="0.25">
      <c r="A221" t="s">
        <v>499</v>
      </c>
      <c r="B221" s="1" t="s">
        <v>500</v>
      </c>
      <c r="C221" t="s">
        <v>289</v>
      </c>
      <c r="D221" s="1" t="s">
        <v>185</v>
      </c>
      <c r="E221" t="s">
        <v>432</v>
      </c>
      <c r="F221" t="s">
        <v>432</v>
      </c>
      <c r="G221" t="s">
        <v>432</v>
      </c>
      <c r="H221" t="s">
        <v>432</v>
      </c>
      <c r="I221" t="s">
        <v>432</v>
      </c>
      <c r="J221" t="s">
        <v>432</v>
      </c>
      <c r="K221" t="s">
        <v>432</v>
      </c>
      <c r="L221" t="s">
        <v>432</v>
      </c>
      <c r="M221" t="s">
        <v>432</v>
      </c>
      <c r="N221" t="s">
        <v>432</v>
      </c>
    </row>
    <row r="222" spans="1:14" x14ac:dyDescent="0.25">
      <c r="A222" t="s">
        <v>501</v>
      </c>
      <c r="B222" s="1" t="s">
        <v>502</v>
      </c>
      <c r="C222" t="s">
        <v>299</v>
      </c>
      <c r="D222" s="1" t="s">
        <v>87</v>
      </c>
      <c r="E222" t="s">
        <v>432</v>
      </c>
      <c r="F222" t="s">
        <v>432</v>
      </c>
      <c r="G222" t="s">
        <v>432</v>
      </c>
      <c r="H222" t="s">
        <v>432</v>
      </c>
      <c r="I222" t="s">
        <v>432</v>
      </c>
      <c r="J222" t="s">
        <v>432</v>
      </c>
      <c r="K222" t="s">
        <v>432</v>
      </c>
      <c r="L222" t="s">
        <v>432</v>
      </c>
      <c r="M222" t="s">
        <v>432</v>
      </c>
      <c r="N222" t="s">
        <v>432</v>
      </c>
    </row>
    <row r="223" spans="1:14" x14ac:dyDescent="0.25">
      <c r="A223" t="s">
        <v>501</v>
      </c>
      <c r="B223" s="1" t="s">
        <v>502</v>
      </c>
      <c r="C223" t="s">
        <v>289</v>
      </c>
      <c r="D223" s="1" t="s">
        <v>185</v>
      </c>
      <c r="E223" t="s">
        <v>432</v>
      </c>
      <c r="F223" t="s">
        <v>432</v>
      </c>
      <c r="G223" t="s">
        <v>432</v>
      </c>
      <c r="H223" t="s">
        <v>432</v>
      </c>
      <c r="I223" t="s">
        <v>432</v>
      </c>
      <c r="J223" t="s">
        <v>432</v>
      </c>
      <c r="K223" t="s">
        <v>432</v>
      </c>
      <c r="L223" t="s">
        <v>432</v>
      </c>
      <c r="M223" t="s">
        <v>432</v>
      </c>
      <c r="N223" t="s">
        <v>432</v>
      </c>
    </row>
    <row r="224" spans="1:14" x14ac:dyDescent="0.25">
      <c r="A224" t="s">
        <v>392</v>
      </c>
      <c r="B224" s="1" t="s">
        <v>143</v>
      </c>
      <c r="C224" t="s">
        <v>299</v>
      </c>
      <c r="D224" s="1" t="s">
        <v>87</v>
      </c>
      <c r="E224">
        <v>58.124015810000003</v>
      </c>
      <c r="F224">
        <v>59.726528170000002</v>
      </c>
      <c r="G224">
        <v>56.668445589999997</v>
      </c>
      <c r="H224">
        <v>57.465511319999997</v>
      </c>
      <c r="I224">
        <v>60.691368099999998</v>
      </c>
      <c r="J224">
        <v>63.83099747</v>
      </c>
      <c r="K224">
        <v>75.549713130000001</v>
      </c>
      <c r="L224">
        <v>81.508888240000005</v>
      </c>
      <c r="M224">
        <v>84.686698910000004</v>
      </c>
      <c r="N224" t="s">
        <v>432</v>
      </c>
    </row>
    <row r="225" spans="1:14" x14ac:dyDescent="0.25">
      <c r="A225" t="s">
        <v>392</v>
      </c>
      <c r="B225" s="1" t="s">
        <v>143</v>
      </c>
      <c r="C225" t="s">
        <v>289</v>
      </c>
      <c r="D225" s="1" t="s">
        <v>185</v>
      </c>
      <c r="E225">
        <v>69.325999999999993</v>
      </c>
      <c r="F225">
        <v>69.709000000000003</v>
      </c>
      <c r="G225">
        <v>70.067999999999998</v>
      </c>
      <c r="H225">
        <v>70.415000000000006</v>
      </c>
      <c r="I225">
        <v>70.745999999999995</v>
      </c>
      <c r="J225">
        <v>70.156000000000006</v>
      </c>
      <c r="K225">
        <v>67.281999999999996</v>
      </c>
      <c r="L225">
        <v>71.697999999999993</v>
      </c>
      <c r="M225">
        <v>72.003</v>
      </c>
      <c r="N225" t="s">
        <v>432</v>
      </c>
    </row>
    <row r="226" spans="1:14" x14ac:dyDescent="0.25">
      <c r="A226" t="s">
        <v>216</v>
      </c>
      <c r="B226" s="1" t="s">
        <v>323</v>
      </c>
      <c r="C226" t="s">
        <v>299</v>
      </c>
      <c r="D226" s="1" t="s">
        <v>87</v>
      </c>
      <c r="E226">
        <v>96.157012940000001</v>
      </c>
      <c r="F226">
        <v>106.40021514999999</v>
      </c>
      <c r="G226">
        <v>110.32610321</v>
      </c>
      <c r="H226">
        <v>110.71585846000001</v>
      </c>
      <c r="I226">
        <v>118.22380828999999</v>
      </c>
      <c r="J226">
        <v>131.82257079999999</v>
      </c>
      <c r="K226">
        <v>158.89761353</v>
      </c>
      <c r="L226">
        <v>127.44384766</v>
      </c>
      <c r="M226">
        <v>131.77729797000001</v>
      </c>
      <c r="N226" t="s">
        <v>432</v>
      </c>
    </row>
    <row r="227" spans="1:14" x14ac:dyDescent="0.25">
      <c r="A227" t="s">
        <v>216</v>
      </c>
      <c r="B227" s="1" t="s">
        <v>323</v>
      </c>
      <c r="C227" t="s">
        <v>289</v>
      </c>
      <c r="D227" s="1" t="s">
        <v>185</v>
      </c>
      <c r="E227">
        <v>69.52</v>
      </c>
      <c r="F227">
        <v>69.733000000000004</v>
      </c>
      <c r="G227">
        <v>69.953000000000003</v>
      </c>
      <c r="H227">
        <v>70.08</v>
      </c>
      <c r="I227">
        <v>70.349000000000004</v>
      </c>
      <c r="J227">
        <v>68.816999999999993</v>
      </c>
      <c r="K227">
        <v>67.451999999999998</v>
      </c>
      <c r="L227">
        <v>70.924999999999997</v>
      </c>
      <c r="M227">
        <v>71.146000000000001</v>
      </c>
      <c r="N227" t="s">
        <v>432</v>
      </c>
    </row>
    <row r="228" spans="1:14" x14ac:dyDescent="0.25">
      <c r="A228" t="s">
        <v>196</v>
      </c>
      <c r="B228" s="1" t="s">
        <v>61</v>
      </c>
      <c r="C228" t="s">
        <v>299</v>
      </c>
      <c r="D228" s="1" t="s">
        <v>87</v>
      </c>
      <c r="E228">
        <v>423.28967284999999</v>
      </c>
      <c r="F228">
        <v>433.91961670000001</v>
      </c>
      <c r="G228">
        <v>457.22549437999999</v>
      </c>
      <c r="H228">
        <v>244.21661377000001</v>
      </c>
      <c r="I228">
        <v>223.64257813</v>
      </c>
      <c r="J228">
        <v>184.90914917000001</v>
      </c>
      <c r="K228">
        <v>196.66934204</v>
      </c>
      <c r="L228">
        <v>250.23272704999999</v>
      </c>
      <c r="M228">
        <v>267.05902099999997</v>
      </c>
      <c r="N228" t="s">
        <v>432</v>
      </c>
    </row>
    <row r="229" spans="1:14" x14ac:dyDescent="0.25">
      <c r="A229" t="s">
        <v>196</v>
      </c>
      <c r="B229" s="1" t="s">
        <v>61</v>
      </c>
      <c r="C229" t="s">
        <v>289</v>
      </c>
      <c r="D229" s="1" t="s">
        <v>185</v>
      </c>
      <c r="E229">
        <v>75.906999999999996</v>
      </c>
      <c r="F229">
        <v>76.155000000000001</v>
      </c>
      <c r="G229">
        <v>76.396000000000001</v>
      </c>
      <c r="H229">
        <v>76.620999999999995</v>
      </c>
      <c r="I229">
        <v>76.855000000000004</v>
      </c>
      <c r="J229">
        <v>74.141000000000005</v>
      </c>
      <c r="K229">
        <v>73.751999999999995</v>
      </c>
      <c r="L229">
        <v>76.799000000000007</v>
      </c>
      <c r="M229">
        <v>77.653999999999996</v>
      </c>
      <c r="N229" t="s">
        <v>432</v>
      </c>
    </row>
    <row r="230" spans="1:14" x14ac:dyDescent="0.25">
      <c r="A230" t="s">
        <v>121</v>
      </c>
      <c r="B230" s="1" t="s">
        <v>344</v>
      </c>
      <c r="C230" t="s">
        <v>299</v>
      </c>
      <c r="D230" s="1" t="s">
        <v>87</v>
      </c>
      <c r="E230">
        <v>149.07951355</v>
      </c>
      <c r="F230">
        <v>199.88560486</v>
      </c>
      <c r="G230">
        <v>197.23654174999999</v>
      </c>
      <c r="H230">
        <v>232.86825562000001</v>
      </c>
      <c r="I230">
        <v>241.73873900999999</v>
      </c>
      <c r="J230">
        <v>248.04725647000001</v>
      </c>
      <c r="K230">
        <v>251.59538269000001</v>
      </c>
      <c r="L230">
        <v>283.17074585</v>
      </c>
      <c r="M230">
        <v>333.29360961999998</v>
      </c>
      <c r="N230" t="s">
        <v>432</v>
      </c>
    </row>
    <row r="231" spans="1:14" x14ac:dyDescent="0.25">
      <c r="A231" t="s">
        <v>121</v>
      </c>
      <c r="B231" s="1" t="s">
        <v>344</v>
      </c>
      <c r="C231" t="s">
        <v>289</v>
      </c>
      <c r="D231" s="1" t="s">
        <v>185</v>
      </c>
      <c r="E231">
        <v>69.977000000000004</v>
      </c>
      <c r="F231">
        <v>68.683000000000007</v>
      </c>
      <c r="G231">
        <v>69.787999999999997</v>
      </c>
      <c r="H231">
        <v>71.116</v>
      </c>
      <c r="I231">
        <v>71.245000000000005</v>
      </c>
      <c r="J231">
        <v>69.650999999999996</v>
      </c>
      <c r="K231">
        <v>70.703999999999994</v>
      </c>
      <c r="L231">
        <v>72.037000000000006</v>
      </c>
      <c r="M231">
        <v>72.323999999999998</v>
      </c>
      <c r="N231" t="s">
        <v>432</v>
      </c>
    </row>
    <row r="232" spans="1:14" x14ac:dyDescent="0.25">
      <c r="A232" t="s">
        <v>134</v>
      </c>
      <c r="B232" s="1" t="s">
        <v>281</v>
      </c>
      <c r="C232" t="s">
        <v>299</v>
      </c>
      <c r="D232" s="1" t="s">
        <v>87</v>
      </c>
      <c r="E232">
        <v>4575.8491210900002</v>
      </c>
      <c r="F232">
        <v>4746.9370117199996</v>
      </c>
      <c r="G232">
        <v>5023.5112304699996</v>
      </c>
      <c r="H232">
        <v>5494.9863281300004</v>
      </c>
      <c r="I232">
        <v>5454.3115234400002</v>
      </c>
      <c r="J232">
        <v>6073.10546875</v>
      </c>
      <c r="K232">
        <v>6754.0751953099998</v>
      </c>
      <c r="L232">
        <v>6407.9233398400002</v>
      </c>
      <c r="M232">
        <v>6877.9375</v>
      </c>
      <c r="N232">
        <v>7394.8500976599998</v>
      </c>
    </row>
    <row r="233" spans="1:14" x14ac:dyDescent="0.25">
      <c r="A233" t="s">
        <v>134</v>
      </c>
      <c r="B233" s="1" t="s">
        <v>281</v>
      </c>
      <c r="C233" t="s">
        <v>289</v>
      </c>
      <c r="D233" s="1" t="s">
        <v>185</v>
      </c>
      <c r="E233">
        <v>81.45365853658538</v>
      </c>
      <c r="F233">
        <v>81.653658536585368</v>
      </c>
      <c r="G233">
        <v>82.156097560975624</v>
      </c>
      <c r="H233">
        <v>82.2048780487805</v>
      </c>
      <c r="I233">
        <v>82.702439024390259</v>
      </c>
      <c r="J233">
        <v>82.456097560975635</v>
      </c>
      <c r="K233">
        <v>82.253658536585377</v>
      </c>
      <c r="L233">
        <v>82.509756097560981</v>
      </c>
      <c r="M233">
        <v>82.86097560975611</v>
      </c>
      <c r="N233" t="s">
        <v>432</v>
      </c>
    </row>
    <row r="234" spans="1:14" x14ac:dyDescent="0.25">
      <c r="A234" t="s">
        <v>503</v>
      </c>
      <c r="B234" s="1" t="s">
        <v>504</v>
      </c>
      <c r="C234" t="s">
        <v>299</v>
      </c>
      <c r="D234" s="1" t="s">
        <v>87</v>
      </c>
      <c r="E234" t="s">
        <v>432</v>
      </c>
      <c r="F234" t="s">
        <v>432</v>
      </c>
      <c r="G234" t="s">
        <v>432</v>
      </c>
      <c r="H234" t="s">
        <v>432</v>
      </c>
      <c r="I234" t="s">
        <v>432</v>
      </c>
      <c r="J234" t="s">
        <v>432</v>
      </c>
      <c r="K234" t="s">
        <v>432</v>
      </c>
      <c r="L234" t="s">
        <v>432</v>
      </c>
      <c r="M234" t="s">
        <v>432</v>
      </c>
      <c r="N234" t="s">
        <v>432</v>
      </c>
    </row>
    <row r="235" spans="1:14" x14ac:dyDescent="0.25">
      <c r="A235" t="s">
        <v>503</v>
      </c>
      <c r="B235" s="1" t="s">
        <v>504</v>
      </c>
      <c r="C235" t="s">
        <v>289</v>
      </c>
      <c r="D235" s="1" t="s">
        <v>185</v>
      </c>
      <c r="E235">
        <v>80.266999999999996</v>
      </c>
      <c r="F235">
        <v>80.391000000000005</v>
      </c>
      <c r="G235">
        <v>80.506</v>
      </c>
      <c r="H235">
        <v>80.614000000000004</v>
      </c>
      <c r="I235">
        <v>80.739999999999995</v>
      </c>
      <c r="J235">
        <v>80.590999999999994</v>
      </c>
      <c r="K235">
        <v>80.42</v>
      </c>
      <c r="L235">
        <v>80.956000000000003</v>
      </c>
      <c r="M235">
        <v>80.998999999999995</v>
      </c>
      <c r="N235" t="s">
        <v>432</v>
      </c>
    </row>
    <row r="236" spans="1:14" x14ac:dyDescent="0.25">
      <c r="A236" t="s">
        <v>142</v>
      </c>
      <c r="B236" s="1" t="s">
        <v>337</v>
      </c>
      <c r="C236" t="s">
        <v>299</v>
      </c>
      <c r="D236" s="1" t="s">
        <v>87</v>
      </c>
      <c r="E236">
        <v>2645.7885742200001</v>
      </c>
      <c r="F236">
        <v>2783.8249511700001</v>
      </c>
      <c r="G236">
        <v>3074.4460449200001</v>
      </c>
      <c r="H236">
        <v>3199.4162597700001</v>
      </c>
      <c r="I236">
        <v>3335.2451171900002</v>
      </c>
      <c r="J236">
        <v>3616.5021972700001</v>
      </c>
      <c r="K236">
        <v>4294.1884765599998</v>
      </c>
      <c r="L236">
        <v>4107.7299804699996</v>
      </c>
      <c r="M236">
        <v>3927.6987304700001</v>
      </c>
      <c r="N236" t="s">
        <v>432</v>
      </c>
    </row>
    <row r="237" spans="1:14" x14ac:dyDescent="0.25">
      <c r="A237" t="s">
        <v>142</v>
      </c>
      <c r="B237" s="1" t="s">
        <v>337</v>
      </c>
      <c r="C237" t="s">
        <v>289</v>
      </c>
      <c r="D237" s="1" t="s">
        <v>185</v>
      </c>
      <c r="E237">
        <v>82.051219512195118</v>
      </c>
      <c r="F237">
        <v>82.407317073170745</v>
      </c>
      <c r="G237">
        <v>82.551219512195118</v>
      </c>
      <c r="H237">
        <v>82.802439024390253</v>
      </c>
      <c r="I237">
        <v>82.804878048780495</v>
      </c>
      <c r="J237">
        <v>82.648780487804885</v>
      </c>
      <c r="K237">
        <v>82.500000000000014</v>
      </c>
      <c r="L237">
        <v>82.700000000000017</v>
      </c>
      <c r="M237">
        <v>83.195121951219519</v>
      </c>
      <c r="N237" t="s">
        <v>432</v>
      </c>
    </row>
    <row r="238" spans="1:14" x14ac:dyDescent="0.25">
      <c r="A238" t="s">
        <v>349</v>
      </c>
      <c r="B238" s="1" t="s">
        <v>251</v>
      </c>
      <c r="C238" t="s">
        <v>299</v>
      </c>
      <c r="D238" s="1" t="s">
        <v>87</v>
      </c>
      <c r="E238">
        <v>2707.4331054700001</v>
      </c>
      <c r="F238">
        <v>2735.2778320299999</v>
      </c>
      <c r="G238">
        <v>2851.2868652299999</v>
      </c>
      <c r="H238">
        <v>3031.4645996099998</v>
      </c>
      <c r="I238">
        <v>2908.8315429700001</v>
      </c>
      <c r="J238">
        <v>3058.9001464799999</v>
      </c>
      <c r="K238">
        <v>3414.57299805</v>
      </c>
      <c r="L238">
        <v>3154.5710449200001</v>
      </c>
      <c r="M238">
        <v>3283.4721679700001</v>
      </c>
      <c r="N238">
        <v>3397.6879882799999</v>
      </c>
    </row>
    <row r="239" spans="1:14" x14ac:dyDescent="0.25">
      <c r="A239" t="s">
        <v>349</v>
      </c>
      <c r="B239" s="1" t="s">
        <v>251</v>
      </c>
      <c r="C239" t="s">
        <v>289</v>
      </c>
      <c r="D239" s="1" t="s">
        <v>185</v>
      </c>
      <c r="E239">
        <v>82.543902439024393</v>
      </c>
      <c r="F239">
        <v>83.243902439024382</v>
      </c>
      <c r="G239">
        <v>82.946341463414655</v>
      </c>
      <c r="H239">
        <v>83.346341463414646</v>
      </c>
      <c r="I239">
        <v>83.497560975609773</v>
      </c>
      <c r="J239">
        <v>82.195121951219519</v>
      </c>
      <c r="K239">
        <v>82.646341463414643</v>
      </c>
      <c r="L239">
        <v>82.700000000000017</v>
      </c>
      <c r="M239">
        <v>83.700000000000017</v>
      </c>
      <c r="N239" t="s">
        <v>432</v>
      </c>
    </row>
    <row r="240" spans="1:14" x14ac:dyDescent="0.25">
      <c r="A240" t="s">
        <v>280</v>
      </c>
      <c r="B240" s="1" t="s">
        <v>301</v>
      </c>
      <c r="C240" t="s">
        <v>299</v>
      </c>
      <c r="D240" s="1" t="s">
        <v>87</v>
      </c>
      <c r="E240">
        <v>334.89901732999999</v>
      </c>
      <c r="F240">
        <v>330.15463256999999</v>
      </c>
      <c r="G240">
        <v>367.35095215000001</v>
      </c>
      <c r="H240">
        <v>381.47775268999999</v>
      </c>
      <c r="I240">
        <v>390.79431152000001</v>
      </c>
      <c r="J240">
        <v>364.76513671999999</v>
      </c>
      <c r="K240">
        <v>413.36227416999998</v>
      </c>
      <c r="L240">
        <v>521.12023925999995</v>
      </c>
      <c r="M240">
        <v>520.15704345999995</v>
      </c>
      <c r="N240" t="s">
        <v>432</v>
      </c>
    </row>
    <row r="241" spans="1:14" x14ac:dyDescent="0.25">
      <c r="A241" t="s">
        <v>280</v>
      </c>
      <c r="B241" s="1" t="s">
        <v>301</v>
      </c>
      <c r="C241" t="s">
        <v>289</v>
      </c>
      <c r="D241" s="1" t="s">
        <v>185</v>
      </c>
      <c r="E241">
        <v>72.213999999999999</v>
      </c>
      <c r="F241">
        <v>72.052000000000007</v>
      </c>
      <c r="G241">
        <v>71.879000000000005</v>
      </c>
      <c r="H241">
        <v>71.605999999999995</v>
      </c>
      <c r="I241">
        <v>71.531999999999996</v>
      </c>
      <c r="J241">
        <v>71.451999999999998</v>
      </c>
      <c r="K241">
        <v>69.084999999999994</v>
      </c>
      <c r="L241">
        <v>71.480999999999995</v>
      </c>
      <c r="M241">
        <v>71.478999999999999</v>
      </c>
      <c r="N241" t="s">
        <v>432</v>
      </c>
    </row>
    <row r="242" spans="1:14" x14ac:dyDescent="0.25">
      <c r="A242" t="s">
        <v>157</v>
      </c>
      <c r="B242" s="1" t="s">
        <v>22</v>
      </c>
      <c r="C242" t="s">
        <v>299</v>
      </c>
      <c r="D242" s="1" t="s">
        <v>87</v>
      </c>
      <c r="E242">
        <v>3754.1811523400002</v>
      </c>
      <c r="F242">
        <v>4194.2280273400002</v>
      </c>
      <c r="G242">
        <v>4135.2431640599998</v>
      </c>
      <c r="H242">
        <v>4265.7792968800004</v>
      </c>
      <c r="I242">
        <v>4431.2998046900002</v>
      </c>
      <c r="J242">
        <v>4581.6098632800004</v>
      </c>
      <c r="K242">
        <v>4843.9443359400002</v>
      </c>
      <c r="L242">
        <v>4201.7924804699996</v>
      </c>
      <c r="M242">
        <v>3638.1928710900002</v>
      </c>
      <c r="N242" t="s">
        <v>432</v>
      </c>
    </row>
    <row r="243" spans="1:14" x14ac:dyDescent="0.25">
      <c r="A243" t="s">
        <v>157</v>
      </c>
      <c r="B243" s="1" t="s">
        <v>22</v>
      </c>
      <c r="C243" t="s">
        <v>289</v>
      </c>
      <c r="D243" s="1" t="s">
        <v>185</v>
      </c>
      <c r="E243">
        <v>83.793902439024393</v>
      </c>
      <c r="F243">
        <v>83.984878048780502</v>
      </c>
      <c r="G243">
        <v>84.099756097560984</v>
      </c>
      <c r="H243">
        <v>84.210975609756105</v>
      </c>
      <c r="I243">
        <v>84.356341463414637</v>
      </c>
      <c r="J243">
        <v>84.560000000000016</v>
      </c>
      <c r="K243">
        <v>84.445609756097568</v>
      </c>
      <c r="L243">
        <v>83.996341463414637</v>
      </c>
      <c r="M243">
        <v>84.041219512195127</v>
      </c>
      <c r="N243" t="s">
        <v>432</v>
      </c>
    </row>
    <row r="244" spans="1:14" x14ac:dyDescent="0.25">
      <c r="A244" t="s">
        <v>373</v>
      </c>
      <c r="B244" s="1" t="s">
        <v>287</v>
      </c>
      <c r="C244" t="s">
        <v>299</v>
      </c>
      <c r="D244" s="1" t="s">
        <v>87</v>
      </c>
      <c r="E244">
        <v>301.63067626999998</v>
      </c>
      <c r="F244">
        <v>278.13378906000003</v>
      </c>
      <c r="G244">
        <v>289.04656982</v>
      </c>
      <c r="H244">
        <v>289.47106933999999</v>
      </c>
      <c r="I244">
        <v>294.92785644999998</v>
      </c>
      <c r="J244">
        <v>303.48229980000002</v>
      </c>
      <c r="K244">
        <v>322.01589966</v>
      </c>
      <c r="L244">
        <v>334.38714599999997</v>
      </c>
      <c r="M244">
        <v>342.10394287000003</v>
      </c>
      <c r="N244" t="s">
        <v>432</v>
      </c>
    </row>
    <row r="245" spans="1:14" x14ac:dyDescent="0.25">
      <c r="A245" t="s">
        <v>373</v>
      </c>
      <c r="B245" s="1" t="s">
        <v>287</v>
      </c>
      <c r="C245" t="s">
        <v>289</v>
      </c>
      <c r="D245" s="1" t="s">
        <v>185</v>
      </c>
      <c r="E245">
        <v>75.06</v>
      </c>
      <c r="F245">
        <v>75.55</v>
      </c>
      <c r="G245">
        <v>76.070999999999998</v>
      </c>
      <c r="H245">
        <v>76.491</v>
      </c>
      <c r="I245">
        <v>76.864999999999995</v>
      </c>
      <c r="J245">
        <v>75.582999999999998</v>
      </c>
      <c r="K245">
        <v>74.203999999999994</v>
      </c>
      <c r="L245">
        <v>77.087999999999994</v>
      </c>
      <c r="M245">
        <v>77.813999999999993</v>
      </c>
      <c r="N245" t="s">
        <v>432</v>
      </c>
    </row>
    <row r="246" spans="1:14" x14ac:dyDescent="0.25">
      <c r="A246" t="s">
        <v>385</v>
      </c>
      <c r="B246" s="1" t="s">
        <v>3</v>
      </c>
      <c r="C246" t="s">
        <v>299</v>
      </c>
      <c r="D246" s="1" t="s">
        <v>87</v>
      </c>
      <c r="E246">
        <v>310.01428222999999</v>
      </c>
      <c r="F246">
        <v>255.84049988000001</v>
      </c>
      <c r="G246">
        <v>272.98272704999999</v>
      </c>
      <c r="H246">
        <v>266.92147827000002</v>
      </c>
      <c r="I246">
        <v>263.61331177</v>
      </c>
      <c r="J246">
        <v>329.57086182</v>
      </c>
      <c r="K246">
        <v>391.81536864999998</v>
      </c>
      <c r="L246">
        <v>421.60028075999998</v>
      </c>
      <c r="M246">
        <v>489.71456909</v>
      </c>
      <c r="N246" t="s">
        <v>432</v>
      </c>
    </row>
    <row r="247" spans="1:14" x14ac:dyDescent="0.25">
      <c r="A247" t="s">
        <v>385</v>
      </c>
      <c r="B247" s="1" t="s">
        <v>3</v>
      </c>
      <c r="C247" t="s">
        <v>289</v>
      </c>
      <c r="D247" s="1" t="s">
        <v>185</v>
      </c>
      <c r="E247">
        <v>72.024000000000001</v>
      </c>
      <c r="F247">
        <v>72.549000000000007</v>
      </c>
      <c r="G247">
        <v>72.995999999999995</v>
      </c>
      <c r="H247">
        <v>73.369</v>
      </c>
      <c r="I247">
        <v>73.658000000000001</v>
      </c>
      <c r="J247">
        <v>71.194999999999993</v>
      </c>
      <c r="K247">
        <v>70.131</v>
      </c>
      <c r="L247">
        <v>73.503</v>
      </c>
      <c r="M247">
        <v>74.402000000000001</v>
      </c>
      <c r="N247" t="s">
        <v>432</v>
      </c>
    </row>
    <row r="248" spans="1:14" x14ac:dyDescent="0.25">
      <c r="A248" t="s">
        <v>215</v>
      </c>
      <c r="B248" s="1" t="s">
        <v>92</v>
      </c>
      <c r="C248" t="s">
        <v>299</v>
      </c>
      <c r="D248" s="1" t="s">
        <v>87</v>
      </c>
      <c r="E248">
        <v>70.947555539999996</v>
      </c>
      <c r="F248">
        <v>73.88768005</v>
      </c>
      <c r="G248">
        <v>66.465522770000007</v>
      </c>
      <c r="H248">
        <v>75.276817320000006</v>
      </c>
      <c r="I248">
        <v>85.645286560000002</v>
      </c>
      <c r="J248">
        <v>86.592193600000002</v>
      </c>
      <c r="K248">
        <v>94.202491760000001</v>
      </c>
      <c r="L248">
        <v>91.184165949999993</v>
      </c>
      <c r="M248">
        <v>84.958991999999995</v>
      </c>
      <c r="N248" t="s">
        <v>432</v>
      </c>
    </row>
    <row r="249" spans="1:14" x14ac:dyDescent="0.25">
      <c r="A249" t="s">
        <v>215</v>
      </c>
      <c r="B249" s="1" t="s">
        <v>92</v>
      </c>
      <c r="C249" t="s">
        <v>289</v>
      </c>
      <c r="D249" s="1" t="s">
        <v>185</v>
      </c>
      <c r="E249">
        <v>62.279000000000003</v>
      </c>
      <c r="F249">
        <v>62.526000000000003</v>
      </c>
      <c r="G249">
        <v>62.725000000000001</v>
      </c>
      <c r="H249">
        <v>62.825000000000003</v>
      </c>
      <c r="I249">
        <v>62.939</v>
      </c>
      <c r="J249">
        <v>61.595999999999997</v>
      </c>
      <c r="K249">
        <v>61.225000000000001</v>
      </c>
      <c r="L249">
        <v>63.548999999999999</v>
      </c>
      <c r="M249">
        <v>63.646000000000001</v>
      </c>
      <c r="N249" t="s">
        <v>432</v>
      </c>
    </row>
    <row r="250" spans="1:14" x14ac:dyDescent="0.25">
      <c r="A250" t="s">
        <v>21</v>
      </c>
      <c r="B250" s="1" t="s">
        <v>44</v>
      </c>
      <c r="C250" t="s">
        <v>299</v>
      </c>
      <c r="D250" s="1" t="s">
        <v>87</v>
      </c>
      <c r="E250">
        <v>118.33458709999999</v>
      </c>
      <c r="F250">
        <v>157.72897338999999</v>
      </c>
      <c r="G250">
        <v>179.57881165000001</v>
      </c>
      <c r="H250">
        <v>208.73831177</v>
      </c>
      <c r="I250">
        <v>177.93025208</v>
      </c>
      <c r="J250">
        <v>239.24353027000001</v>
      </c>
      <c r="K250">
        <v>263.09573363999999</v>
      </c>
      <c r="L250">
        <v>217.68276978</v>
      </c>
      <c r="M250">
        <v>238.12675476000001</v>
      </c>
      <c r="N250" t="s">
        <v>432</v>
      </c>
    </row>
    <row r="251" spans="1:14" x14ac:dyDescent="0.25">
      <c r="A251" t="s">
        <v>21</v>
      </c>
      <c r="B251" s="1" t="s">
        <v>44</v>
      </c>
      <c r="C251" t="s">
        <v>289</v>
      </c>
      <c r="D251" s="1" t="s">
        <v>185</v>
      </c>
      <c r="E251">
        <v>65.831000000000003</v>
      </c>
      <c r="F251">
        <v>65.799000000000007</v>
      </c>
      <c r="G251">
        <v>65.787000000000006</v>
      </c>
      <c r="H251">
        <v>65.807000000000002</v>
      </c>
      <c r="I251">
        <v>65.866</v>
      </c>
      <c r="J251">
        <v>65.204999999999998</v>
      </c>
      <c r="K251">
        <v>64.147999999999996</v>
      </c>
      <c r="L251">
        <v>66.269000000000005</v>
      </c>
      <c r="M251">
        <v>66.472999999999999</v>
      </c>
      <c r="N251" t="s">
        <v>432</v>
      </c>
    </row>
    <row r="252" spans="1:14" x14ac:dyDescent="0.25">
      <c r="A252" t="s">
        <v>505</v>
      </c>
      <c r="B252" s="1" t="s">
        <v>506</v>
      </c>
      <c r="C252" t="s">
        <v>299</v>
      </c>
      <c r="D252" s="1" t="s">
        <v>87</v>
      </c>
      <c r="E252" t="s">
        <v>432</v>
      </c>
      <c r="F252" t="s">
        <v>432</v>
      </c>
      <c r="G252" t="s">
        <v>432</v>
      </c>
      <c r="H252" t="s">
        <v>432</v>
      </c>
      <c r="I252" t="s">
        <v>432</v>
      </c>
      <c r="J252" t="s">
        <v>432</v>
      </c>
      <c r="K252" t="s">
        <v>432</v>
      </c>
      <c r="L252" t="s">
        <v>432</v>
      </c>
      <c r="M252" t="s">
        <v>432</v>
      </c>
      <c r="N252" t="s">
        <v>432</v>
      </c>
    </row>
    <row r="253" spans="1:14" x14ac:dyDescent="0.25">
      <c r="A253" t="s">
        <v>505</v>
      </c>
      <c r="B253" s="1" t="s">
        <v>506</v>
      </c>
      <c r="C253" t="s">
        <v>289</v>
      </c>
      <c r="D253" s="1" t="s">
        <v>185</v>
      </c>
      <c r="E253">
        <v>72.825000000000003</v>
      </c>
      <c r="F253">
        <v>72.971000000000004</v>
      </c>
      <c r="G253">
        <v>73.034000000000006</v>
      </c>
      <c r="H253">
        <v>73.02</v>
      </c>
      <c r="I253">
        <v>72.927999999999997</v>
      </c>
      <c r="J253">
        <v>72.783000000000001</v>
      </c>
      <c r="K253">
        <v>73.436999999999998</v>
      </c>
      <c r="L253">
        <v>73.641000000000005</v>
      </c>
      <c r="M253">
        <v>73.641999999999996</v>
      </c>
      <c r="N253" t="s">
        <v>432</v>
      </c>
    </row>
    <row r="254" spans="1:14" x14ac:dyDescent="0.25">
      <c r="A254" t="s">
        <v>116</v>
      </c>
      <c r="B254" s="1" t="s">
        <v>266</v>
      </c>
      <c r="C254" t="s">
        <v>299</v>
      </c>
      <c r="D254" s="1" t="s">
        <v>87</v>
      </c>
      <c r="E254">
        <v>1950.89575195</v>
      </c>
      <c r="F254">
        <v>2042.72949219</v>
      </c>
      <c r="G254">
        <v>2258.1530761700001</v>
      </c>
      <c r="H254">
        <v>2523.0400390599998</v>
      </c>
      <c r="I254">
        <v>2602.4831543</v>
      </c>
      <c r="J254">
        <v>2699.6640625</v>
      </c>
      <c r="K254">
        <v>3125.8271484400002</v>
      </c>
      <c r="L254">
        <v>3078.5515136700001</v>
      </c>
      <c r="M254">
        <v>3043.8732910200001</v>
      </c>
      <c r="N254">
        <v>3136.7856445299999</v>
      </c>
    </row>
    <row r="255" spans="1:14" x14ac:dyDescent="0.25">
      <c r="A255" t="s">
        <v>116</v>
      </c>
      <c r="B255" s="1" t="s">
        <v>266</v>
      </c>
      <c r="C255" t="s">
        <v>289</v>
      </c>
      <c r="D255" s="1" t="s">
        <v>185</v>
      </c>
      <c r="E255">
        <v>82.024390243902445</v>
      </c>
      <c r="F255">
        <v>82.27560975609758</v>
      </c>
      <c r="G255">
        <v>82.626829268292681</v>
      </c>
      <c r="H255">
        <v>82.626829268292681</v>
      </c>
      <c r="I255">
        <v>83.22682926829269</v>
      </c>
      <c r="J255">
        <v>83.426829268292693</v>
      </c>
      <c r="K255">
        <v>83.526829268292687</v>
      </c>
      <c r="L255">
        <v>82.680487804878055</v>
      </c>
      <c r="M255">
        <v>83.429268292682934</v>
      </c>
      <c r="N255" t="s">
        <v>432</v>
      </c>
    </row>
    <row r="256" spans="1:14" x14ac:dyDescent="0.25">
      <c r="A256" t="s">
        <v>507</v>
      </c>
      <c r="B256" s="1" t="s">
        <v>508</v>
      </c>
      <c r="C256" t="s">
        <v>299</v>
      </c>
      <c r="D256" s="1" t="s">
        <v>87</v>
      </c>
      <c r="E256" t="s">
        <v>432</v>
      </c>
      <c r="F256" t="s">
        <v>432</v>
      </c>
      <c r="G256" t="s">
        <v>432</v>
      </c>
      <c r="H256" t="s">
        <v>432</v>
      </c>
      <c r="I256" t="s">
        <v>432</v>
      </c>
      <c r="J256" t="s">
        <v>432</v>
      </c>
      <c r="K256" t="s">
        <v>432</v>
      </c>
      <c r="L256" t="s">
        <v>432</v>
      </c>
      <c r="M256" t="s">
        <v>432</v>
      </c>
      <c r="N256" t="s">
        <v>432</v>
      </c>
    </row>
    <row r="257" spans="1:14" x14ac:dyDescent="0.25">
      <c r="A257" t="s">
        <v>507</v>
      </c>
      <c r="B257" s="1" t="s">
        <v>508</v>
      </c>
      <c r="C257" t="s">
        <v>289</v>
      </c>
      <c r="D257" s="1" t="s">
        <v>185</v>
      </c>
      <c r="E257">
        <v>76.024000000000001</v>
      </c>
      <c r="F257">
        <v>76.748000000000005</v>
      </c>
      <c r="G257">
        <v>77.105000000000004</v>
      </c>
      <c r="H257">
        <v>77.117000000000004</v>
      </c>
      <c r="I257">
        <v>77.248999999999995</v>
      </c>
      <c r="J257">
        <v>74.212000000000003</v>
      </c>
      <c r="K257">
        <v>74.980999999999995</v>
      </c>
      <c r="L257">
        <v>77.623000000000005</v>
      </c>
      <c r="M257">
        <v>78.033000000000001</v>
      </c>
      <c r="N257" t="s">
        <v>432</v>
      </c>
    </row>
    <row r="258" spans="1:14" x14ac:dyDescent="0.25">
      <c r="A258" t="s">
        <v>90</v>
      </c>
      <c r="B258" s="1" t="s">
        <v>173</v>
      </c>
      <c r="C258" t="s">
        <v>299</v>
      </c>
      <c r="D258" s="1" t="s">
        <v>87</v>
      </c>
      <c r="E258">
        <v>1259.5578613299999</v>
      </c>
      <c r="F258">
        <v>1292.7198486299999</v>
      </c>
      <c r="G258">
        <v>1351.72387695</v>
      </c>
      <c r="H258">
        <v>1658.6037597699999</v>
      </c>
      <c r="I258">
        <v>1643.1649169899999</v>
      </c>
      <c r="J258">
        <v>1542.72143555</v>
      </c>
      <c r="K258">
        <v>1829.1313476600001</v>
      </c>
      <c r="L258">
        <v>1683.3992919899999</v>
      </c>
      <c r="M258">
        <v>1679.1235351600001</v>
      </c>
      <c r="N258" t="s">
        <v>432</v>
      </c>
    </row>
    <row r="259" spans="1:14" x14ac:dyDescent="0.25">
      <c r="A259" t="s">
        <v>90</v>
      </c>
      <c r="B259" s="1" t="s">
        <v>173</v>
      </c>
      <c r="C259" t="s">
        <v>289</v>
      </c>
      <c r="D259" s="1" t="s">
        <v>185</v>
      </c>
      <c r="E259">
        <v>79.376560975609763</v>
      </c>
      <c r="F259">
        <v>79.677585365853673</v>
      </c>
      <c r="G259">
        <v>79.916073170731721</v>
      </c>
      <c r="H259">
        <v>80.106365853658545</v>
      </c>
      <c r="I259">
        <v>81.969756097560989</v>
      </c>
      <c r="J259">
        <v>78.760975609756102</v>
      </c>
      <c r="K259">
        <v>78.736585365853671</v>
      </c>
      <c r="L259">
        <v>80.587804878048786</v>
      </c>
      <c r="M259">
        <v>83.187804878048794</v>
      </c>
      <c r="N259" t="s">
        <v>432</v>
      </c>
    </row>
    <row r="260" spans="1:14" x14ac:dyDescent="0.25">
      <c r="A260" t="s">
        <v>314</v>
      </c>
      <c r="B260" s="1" t="s">
        <v>213</v>
      </c>
      <c r="C260" t="s">
        <v>299</v>
      </c>
      <c r="D260" s="1" t="s">
        <v>87</v>
      </c>
      <c r="E260">
        <v>79.548912049999998</v>
      </c>
      <c r="F260">
        <v>71.521797179999993</v>
      </c>
      <c r="G260">
        <v>76.604797360000006</v>
      </c>
      <c r="H260">
        <v>65.346252440000001</v>
      </c>
      <c r="I260">
        <v>61.39657974</v>
      </c>
      <c r="J260">
        <v>61.25272751</v>
      </c>
      <c r="K260">
        <v>72.587791440000004</v>
      </c>
      <c r="L260">
        <v>88.079544069999997</v>
      </c>
      <c r="M260">
        <v>96.650817869999997</v>
      </c>
      <c r="N260" t="s">
        <v>432</v>
      </c>
    </row>
    <row r="261" spans="1:14" x14ac:dyDescent="0.25">
      <c r="A261" t="s">
        <v>314</v>
      </c>
      <c r="B261" s="1" t="s">
        <v>213</v>
      </c>
      <c r="C261" t="s">
        <v>289</v>
      </c>
      <c r="D261" s="1" t="s">
        <v>185</v>
      </c>
      <c r="E261">
        <v>70.651219512195127</v>
      </c>
      <c r="F261">
        <v>70.951219512195124</v>
      </c>
      <c r="G261">
        <v>71.200000000000017</v>
      </c>
      <c r="H261">
        <v>71.400000000000006</v>
      </c>
      <c r="I261">
        <v>71.600000000000009</v>
      </c>
      <c r="J261">
        <v>71.800000000000011</v>
      </c>
      <c r="K261">
        <v>71.900000000000006</v>
      </c>
      <c r="L261">
        <v>72.048780487804876</v>
      </c>
      <c r="M261">
        <v>72.248780487804893</v>
      </c>
      <c r="N261" t="s">
        <v>432</v>
      </c>
    </row>
    <row r="262" spans="1:14" x14ac:dyDescent="0.25">
      <c r="A262" t="s">
        <v>11</v>
      </c>
      <c r="B262" s="1" t="s">
        <v>205</v>
      </c>
      <c r="C262" t="s">
        <v>299</v>
      </c>
      <c r="D262" s="1" t="s">
        <v>87</v>
      </c>
      <c r="E262">
        <v>52.042366029999997</v>
      </c>
      <c r="F262">
        <v>54.376220699999998</v>
      </c>
      <c r="G262">
        <v>61.422485350000002</v>
      </c>
      <c r="H262">
        <v>57.170837400000003</v>
      </c>
      <c r="I262">
        <v>67.578651429999994</v>
      </c>
      <c r="J262">
        <v>51.965812679999999</v>
      </c>
      <c r="K262">
        <v>68.616973880000003</v>
      </c>
      <c r="L262">
        <v>41.347797389999997</v>
      </c>
      <c r="M262">
        <v>27.417736049999998</v>
      </c>
      <c r="N262" t="s">
        <v>432</v>
      </c>
    </row>
    <row r="263" spans="1:14" x14ac:dyDescent="0.25">
      <c r="A263" t="s">
        <v>11</v>
      </c>
      <c r="B263" s="1" t="s">
        <v>205</v>
      </c>
      <c r="C263" t="s">
        <v>289</v>
      </c>
      <c r="D263" s="1" t="s">
        <v>185</v>
      </c>
      <c r="E263">
        <v>66.688000000000002</v>
      </c>
      <c r="F263">
        <v>67.013999999999996</v>
      </c>
      <c r="G263">
        <v>67.344999999999999</v>
      </c>
      <c r="H263">
        <v>67.593999999999994</v>
      </c>
      <c r="I263">
        <v>67.911000000000001</v>
      </c>
      <c r="J263">
        <v>68.338999999999999</v>
      </c>
      <c r="K263">
        <v>67.807000000000002</v>
      </c>
      <c r="L263">
        <v>68.715000000000003</v>
      </c>
      <c r="M263">
        <v>68.963999999999999</v>
      </c>
      <c r="N263" t="s">
        <v>432</v>
      </c>
    </row>
    <row r="264" spans="1:14" x14ac:dyDescent="0.25">
      <c r="A264" t="s">
        <v>509</v>
      </c>
      <c r="B264" s="1" t="s">
        <v>510</v>
      </c>
      <c r="C264" t="s">
        <v>299</v>
      </c>
      <c r="D264" s="1" t="s">
        <v>87</v>
      </c>
      <c r="E264">
        <v>449.5158224653054</v>
      </c>
      <c r="F264">
        <v>453.38770841973138</v>
      </c>
      <c r="G264">
        <v>508.24544645640344</v>
      </c>
      <c r="H264">
        <v>552.9259781217761</v>
      </c>
      <c r="I264">
        <v>578.29718987738011</v>
      </c>
      <c r="J264">
        <v>599.99959128770092</v>
      </c>
      <c r="K264">
        <v>685.25020878711121</v>
      </c>
      <c r="L264">
        <v>757.78032772330039</v>
      </c>
      <c r="M264">
        <v>785.27648834784134</v>
      </c>
      <c r="N264" t="s">
        <v>432</v>
      </c>
    </row>
    <row r="265" spans="1:14" x14ac:dyDescent="0.25">
      <c r="A265" t="s">
        <v>509</v>
      </c>
      <c r="B265" s="1" t="s">
        <v>510</v>
      </c>
      <c r="C265" t="s">
        <v>289</v>
      </c>
      <c r="D265" s="1" t="s">
        <v>185</v>
      </c>
      <c r="E265">
        <v>76.076232880776871</v>
      </c>
      <c r="F265">
        <v>76.292899724581233</v>
      </c>
      <c r="G265">
        <v>76.417434350102155</v>
      </c>
      <c r="H265">
        <v>76.778148942143375</v>
      </c>
      <c r="I265">
        <v>76.99796062583161</v>
      </c>
      <c r="J265">
        <v>76.693563807491344</v>
      </c>
      <c r="K265">
        <v>76.306013697708295</v>
      </c>
      <c r="L265">
        <v>76.95432566674684</v>
      </c>
      <c r="M265">
        <v>77.129775043966305</v>
      </c>
      <c r="N265" t="s">
        <v>432</v>
      </c>
    </row>
    <row r="266" spans="1:14" x14ac:dyDescent="0.25">
      <c r="A266" t="s">
        <v>511</v>
      </c>
      <c r="B266" s="1" t="s">
        <v>512</v>
      </c>
      <c r="C266" t="s">
        <v>299</v>
      </c>
      <c r="D266" s="1" t="s">
        <v>87</v>
      </c>
      <c r="E266">
        <v>682.32829627303272</v>
      </c>
      <c r="F266">
        <v>655.69870081769739</v>
      </c>
      <c r="G266">
        <v>739.43647936929437</v>
      </c>
      <c r="H266">
        <v>678.19645437728184</v>
      </c>
      <c r="I266">
        <v>661.87999169716136</v>
      </c>
      <c r="J266">
        <v>590.88559315763393</v>
      </c>
      <c r="K266">
        <v>673.5083452146215</v>
      </c>
      <c r="L266">
        <v>732.07721152116278</v>
      </c>
      <c r="M266">
        <v>816.19942622924941</v>
      </c>
      <c r="N266" t="s">
        <v>432</v>
      </c>
    </row>
    <row r="267" spans="1:14" x14ac:dyDescent="0.25">
      <c r="A267" t="s">
        <v>511</v>
      </c>
      <c r="B267" s="1" t="s">
        <v>512</v>
      </c>
      <c r="C267" t="s">
        <v>289</v>
      </c>
      <c r="D267" s="1" t="s">
        <v>185</v>
      </c>
      <c r="E267">
        <v>74.743222189309691</v>
      </c>
      <c r="F267">
        <v>74.677484883378099</v>
      </c>
      <c r="G267">
        <v>74.831808789211294</v>
      </c>
      <c r="H267">
        <v>75.052717198381018</v>
      </c>
      <c r="I267">
        <v>75.204259865492062</v>
      </c>
      <c r="J267">
        <v>73.188936768140209</v>
      </c>
      <c r="K267">
        <v>71.814176218930626</v>
      </c>
      <c r="L267">
        <v>74.647209542165896</v>
      </c>
      <c r="M267">
        <v>75.643527317401563</v>
      </c>
      <c r="N267" t="s">
        <v>432</v>
      </c>
    </row>
    <row r="268" spans="1:14" x14ac:dyDescent="0.25">
      <c r="A268" t="s">
        <v>513</v>
      </c>
      <c r="B268" s="1" t="s">
        <v>514</v>
      </c>
      <c r="C268" t="s">
        <v>299</v>
      </c>
      <c r="D268" s="1" t="s">
        <v>87</v>
      </c>
      <c r="E268">
        <v>658.19956503418371</v>
      </c>
      <c r="F268">
        <v>627.54781776252105</v>
      </c>
      <c r="G268">
        <v>708.20223274827208</v>
      </c>
      <c r="H268">
        <v>666.23930160960356</v>
      </c>
      <c r="I268">
        <v>651.43331200872899</v>
      </c>
      <c r="J268">
        <v>573.62677116939687</v>
      </c>
      <c r="K268">
        <v>651.98124580263379</v>
      </c>
      <c r="L268">
        <v>712.69853215249316</v>
      </c>
      <c r="M268">
        <v>797.69490871189362</v>
      </c>
      <c r="N268" t="s">
        <v>432</v>
      </c>
    </row>
    <row r="269" spans="1:14" x14ac:dyDescent="0.25">
      <c r="A269" t="s">
        <v>513</v>
      </c>
      <c r="B269" s="1" t="s">
        <v>514</v>
      </c>
      <c r="C269" t="s">
        <v>289</v>
      </c>
      <c r="D269" s="1" t="s">
        <v>185</v>
      </c>
      <c r="E269">
        <v>74.555395566731633</v>
      </c>
      <c r="F269">
        <v>74.530646076094115</v>
      </c>
      <c r="G269">
        <v>74.700653442742123</v>
      </c>
      <c r="H269">
        <v>74.890673101639692</v>
      </c>
      <c r="I269">
        <v>75.051352461351129</v>
      </c>
      <c r="J269">
        <v>72.875921727133843</v>
      </c>
      <c r="K269">
        <v>71.437701643298183</v>
      </c>
      <c r="L269">
        <v>74.489726262647537</v>
      </c>
      <c r="M269">
        <v>75.498601330186673</v>
      </c>
      <c r="N269" t="s">
        <v>432</v>
      </c>
    </row>
    <row r="270" spans="1:14" x14ac:dyDescent="0.25">
      <c r="A270" t="s">
        <v>515</v>
      </c>
      <c r="B270" s="1" t="s">
        <v>516</v>
      </c>
      <c r="C270" t="s">
        <v>299</v>
      </c>
      <c r="D270" s="1" t="s">
        <v>87</v>
      </c>
      <c r="E270">
        <v>675.63772430528456</v>
      </c>
      <c r="F270">
        <v>648.45918135845955</v>
      </c>
      <c r="G270">
        <v>733.76556089293547</v>
      </c>
      <c r="H270">
        <v>671.94108900964932</v>
      </c>
      <c r="I270">
        <v>654.63526975046693</v>
      </c>
      <c r="J270">
        <v>579.29404509062078</v>
      </c>
      <c r="K270">
        <v>672.71248129708806</v>
      </c>
      <c r="L270">
        <v>731.08303655373311</v>
      </c>
      <c r="M270">
        <v>815.30022629743553</v>
      </c>
      <c r="N270" t="s">
        <v>432</v>
      </c>
    </row>
    <row r="271" spans="1:14" x14ac:dyDescent="0.25">
      <c r="A271" t="s">
        <v>515</v>
      </c>
      <c r="B271" s="1" t="s">
        <v>516</v>
      </c>
      <c r="C271" t="s">
        <v>289</v>
      </c>
      <c r="D271" s="1" t="s">
        <v>185</v>
      </c>
      <c r="E271">
        <v>74.65059041181533</v>
      </c>
      <c r="F271">
        <v>74.589479426907289</v>
      </c>
      <c r="G271">
        <v>74.761410135362595</v>
      </c>
      <c r="H271">
        <v>74.976097801079732</v>
      </c>
      <c r="I271">
        <v>75.131971149344182</v>
      </c>
      <c r="J271">
        <v>73.074749361747308</v>
      </c>
      <c r="K271">
        <v>71.744927462640518</v>
      </c>
      <c r="L271">
        <v>74.568429354085879</v>
      </c>
      <c r="M271">
        <v>75.569925837968782</v>
      </c>
      <c r="N271" t="s">
        <v>432</v>
      </c>
    </row>
    <row r="272" spans="1:14" x14ac:dyDescent="0.25">
      <c r="A272" t="s">
        <v>102</v>
      </c>
      <c r="B272" s="1" t="s">
        <v>93</v>
      </c>
      <c r="C272" t="s">
        <v>299</v>
      </c>
      <c r="D272" s="1" t="s">
        <v>87</v>
      </c>
      <c r="E272">
        <v>775.86431885000002</v>
      </c>
      <c r="F272">
        <v>874.79772949000005</v>
      </c>
      <c r="G272">
        <v>932.50158691000001</v>
      </c>
      <c r="H272">
        <v>1101.4924316399999</v>
      </c>
      <c r="I272">
        <v>1183.1151123</v>
      </c>
      <c r="J272">
        <v>1313.3541259799999</v>
      </c>
      <c r="K272">
        <v>1897.95275879</v>
      </c>
      <c r="L272">
        <v>1642.4713134799999</v>
      </c>
      <c r="M272">
        <v>1645.4152832</v>
      </c>
      <c r="N272" t="s">
        <v>432</v>
      </c>
    </row>
    <row r="273" spans="1:14" x14ac:dyDescent="0.25">
      <c r="A273" t="s">
        <v>102</v>
      </c>
      <c r="B273" s="1" t="s">
        <v>93</v>
      </c>
      <c r="C273" t="s">
        <v>289</v>
      </c>
      <c r="D273" s="1" t="s">
        <v>185</v>
      </c>
      <c r="E273">
        <v>74.480487804878052</v>
      </c>
      <c r="F273">
        <v>74.580487804878047</v>
      </c>
      <c r="G273">
        <v>74.629268292682937</v>
      </c>
      <c r="H273">
        <v>74.782926829268305</v>
      </c>
      <c r="I273">
        <v>75.387804878048797</v>
      </c>
      <c r="J273">
        <v>75.185365853658539</v>
      </c>
      <c r="K273">
        <v>72.980487804878067</v>
      </c>
      <c r="L273">
        <v>74.278048780487822</v>
      </c>
      <c r="M273">
        <v>75.678048780487799</v>
      </c>
      <c r="N273" t="s">
        <v>432</v>
      </c>
    </row>
    <row r="274" spans="1:14" x14ac:dyDescent="0.25">
      <c r="A274" t="s">
        <v>517</v>
      </c>
      <c r="B274" s="1" t="s">
        <v>518</v>
      </c>
      <c r="C274" t="s">
        <v>299</v>
      </c>
      <c r="D274" s="1" t="s">
        <v>87</v>
      </c>
      <c r="E274">
        <v>43.322137542137931</v>
      </c>
      <c r="F274">
        <v>42.95909229276851</v>
      </c>
      <c r="G274">
        <v>43.765877277546146</v>
      </c>
      <c r="H274">
        <v>44.612659338305861</v>
      </c>
      <c r="I274">
        <v>42.645180348813909</v>
      </c>
      <c r="J274">
        <v>43.589890171138457</v>
      </c>
      <c r="K274">
        <v>48.186301953630355</v>
      </c>
      <c r="L274">
        <v>47.76663850338732</v>
      </c>
      <c r="M274">
        <v>47.128362635118499</v>
      </c>
      <c r="N274" t="s">
        <v>432</v>
      </c>
    </row>
    <row r="275" spans="1:14" x14ac:dyDescent="0.25">
      <c r="A275" t="s">
        <v>517</v>
      </c>
      <c r="B275" s="1" t="s">
        <v>518</v>
      </c>
      <c r="C275" t="s">
        <v>289</v>
      </c>
      <c r="D275" s="1" t="s">
        <v>185</v>
      </c>
      <c r="E275">
        <v>63.304900261817586</v>
      </c>
      <c r="F275">
        <v>63.723727068035657</v>
      </c>
      <c r="G275">
        <v>64.033975515623467</v>
      </c>
      <c r="H275">
        <v>64.602275766012724</v>
      </c>
      <c r="I275">
        <v>64.972453441554052</v>
      </c>
      <c r="J275">
        <v>64.832358541732347</v>
      </c>
      <c r="K275">
        <v>64.267342334044002</v>
      </c>
      <c r="L275">
        <v>65.763185763216327</v>
      </c>
      <c r="M275">
        <v>66.516100259778767</v>
      </c>
      <c r="N275" t="s">
        <v>432</v>
      </c>
    </row>
    <row r="276" spans="1:14" x14ac:dyDescent="0.25">
      <c r="A276" t="s">
        <v>25</v>
      </c>
      <c r="B276" s="1" t="s">
        <v>398</v>
      </c>
      <c r="C276" t="s">
        <v>299</v>
      </c>
      <c r="D276" s="1" t="s">
        <v>87</v>
      </c>
      <c r="E276">
        <v>572.07220458999996</v>
      </c>
      <c r="F276">
        <v>640.96563720999995</v>
      </c>
      <c r="G276">
        <v>671.77996826000003</v>
      </c>
      <c r="H276">
        <v>740.38696288999995</v>
      </c>
      <c r="I276">
        <v>798.13421631000006</v>
      </c>
      <c r="J276">
        <v>303.48632813</v>
      </c>
      <c r="K276">
        <v>189.8581543</v>
      </c>
      <c r="L276">
        <v>230.39093018</v>
      </c>
      <c r="M276">
        <v>260.81198119999999</v>
      </c>
      <c r="N276" t="s">
        <v>432</v>
      </c>
    </row>
    <row r="277" spans="1:14" x14ac:dyDescent="0.25">
      <c r="A277" t="s">
        <v>25</v>
      </c>
      <c r="B277" s="1" t="s">
        <v>398</v>
      </c>
      <c r="C277" t="s">
        <v>289</v>
      </c>
      <c r="D277" s="1" t="s">
        <v>185</v>
      </c>
      <c r="E277">
        <v>78.275000000000006</v>
      </c>
      <c r="F277">
        <v>78.305999999999997</v>
      </c>
      <c r="G277">
        <v>78.191999999999993</v>
      </c>
      <c r="H277">
        <v>78.263000000000005</v>
      </c>
      <c r="I277">
        <v>78.207999999999998</v>
      </c>
      <c r="J277">
        <v>76.299000000000007</v>
      </c>
      <c r="K277">
        <v>73.650000000000006</v>
      </c>
      <c r="L277">
        <v>78.003</v>
      </c>
      <c r="M277">
        <v>77.816999999999993</v>
      </c>
      <c r="N277" t="s">
        <v>432</v>
      </c>
    </row>
    <row r="278" spans="1:14" x14ac:dyDescent="0.25">
      <c r="A278" t="s">
        <v>347</v>
      </c>
      <c r="B278" s="1" t="s">
        <v>325</v>
      </c>
      <c r="C278" t="s">
        <v>299</v>
      </c>
      <c r="D278" s="1" t="s">
        <v>87</v>
      </c>
      <c r="E278">
        <v>104.59999847</v>
      </c>
      <c r="F278">
        <v>91.012718199999995</v>
      </c>
      <c r="G278">
        <v>115.43321228000001</v>
      </c>
      <c r="H278">
        <v>130.93614196999999</v>
      </c>
      <c r="I278">
        <v>235.94372559000001</v>
      </c>
      <c r="J278">
        <v>96.845367429999996</v>
      </c>
      <c r="K278">
        <v>115.81448364000001</v>
      </c>
      <c r="L278">
        <v>133.32562256</v>
      </c>
      <c r="M278">
        <v>122.63982391</v>
      </c>
      <c r="N278" t="s">
        <v>432</v>
      </c>
    </row>
    <row r="279" spans="1:14" x14ac:dyDescent="0.25">
      <c r="A279" t="s">
        <v>347</v>
      </c>
      <c r="B279" s="1" t="s">
        <v>325</v>
      </c>
      <c r="C279" t="s">
        <v>289</v>
      </c>
      <c r="D279" s="1" t="s">
        <v>185</v>
      </c>
      <c r="E279">
        <v>51.83</v>
      </c>
      <c r="F279">
        <v>52.908000000000001</v>
      </c>
      <c r="G279">
        <v>53.874000000000002</v>
      </c>
      <c r="H279">
        <v>54.637999999999998</v>
      </c>
      <c r="I279">
        <v>55.249000000000002</v>
      </c>
      <c r="J279">
        <v>55.133000000000003</v>
      </c>
      <c r="K279">
        <v>54.209000000000003</v>
      </c>
      <c r="L279">
        <v>56.811999999999998</v>
      </c>
      <c r="M279">
        <v>57.375</v>
      </c>
      <c r="N279" t="s">
        <v>432</v>
      </c>
    </row>
    <row r="280" spans="1:14" x14ac:dyDescent="0.25">
      <c r="A280" t="s">
        <v>203</v>
      </c>
      <c r="B280" s="1" t="s">
        <v>144</v>
      </c>
      <c r="C280" t="s">
        <v>299</v>
      </c>
      <c r="D280" s="1" t="s">
        <v>87</v>
      </c>
      <c r="E280">
        <v>68.897933960000003</v>
      </c>
      <c r="F280">
        <v>67.680160520000001</v>
      </c>
      <c r="G280">
        <v>67.878997799999993</v>
      </c>
      <c r="H280">
        <v>68.882987979999996</v>
      </c>
      <c r="I280">
        <v>51.1932373</v>
      </c>
      <c r="J280">
        <v>76.110099790000007</v>
      </c>
      <c r="K280">
        <v>88.548675540000005</v>
      </c>
      <c r="L280">
        <v>100.49607086</v>
      </c>
      <c r="M280">
        <v>103.94123077</v>
      </c>
      <c r="N280" t="s">
        <v>432</v>
      </c>
    </row>
    <row r="281" spans="1:14" x14ac:dyDescent="0.25">
      <c r="A281" t="s">
        <v>203</v>
      </c>
      <c r="B281" s="1" t="s">
        <v>144</v>
      </c>
      <c r="C281" t="s">
        <v>289</v>
      </c>
      <c r="D281" s="1" t="s">
        <v>185</v>
      </c>
      <c r="E281">
        <v>59.247999999999998</v>
      </c>
      <c r="F281">
        <v>60.482999999999997</v>
      </c>
      <c r="G281">
        <v>60.777000000000001</v>
      </c>
      <c r="H281">
        <v>60.999000000000002</v>
      </c>
      <c r="I281">
        <v>61.231999999999999</v>
      </c>
      <c r="J281">
        <v>61.267000000000003</v>
      </c>
      <c r="K281">
        <v>61.165999999999997</v>
      </c>
      <c r="L281">
        <v>61.933999999999997</v>
      </c>
      <c r="M281">
        <v>62.162999999999997</v>
      </c>
      <c r="N281" t="s">
        <v>432</v>
      </c>
    </row>
    <row r="282" spans="1:14" x14ac:dyDescent="0.25">
      <c r="A282" t="s">
        <v>352</v>
      </c>
      <c r="B282" s="1" t="s">
        <v>176</v>
      </c>
      <c r="C282" t="s">
        <v>299</v>
      </c>
      <c r="D282" s="1" t="s">
        <v>87</v>
      </c>
      <c r="E282">
        <v>433.06808472</v>
      </c>
      <c r="F282">
        <v>464.47531128000003</v>
      </c>
      <c r="G282">
        <v>466.08538818</v>
      </c>
      <c r="H282">
        <v>544.88079833999996</v>
      </c>
      <c r="I282">
        <v>552.73168944999998</v>
      </c>
      <c r="J282">
        <v>472.62240601000002</v>
      </c>
      <c r="K282">
        <v>298.84338379000002</v>
      </c>
      <c r="L282">
        <v>284.0262146</v>
      </c>
      <c r="M282">
        <v>470.4034729</v>
      </c>
      <c r="N282" t="s">
        <v>432</v>
      </c>
    </row>
    <row r="283" spans="1:14" x14ac:dyDescent="0.25">
      <c r="A283" t="s">
        <v>352</v>
      </c>
      <c r="B283" s="1" t="s">
        <v>176</v>
      </c>
      <c r="C283" t="s">
        <v>289</v>
      </c>
      <c r="D283" s="1" t="s">
        <v>185</v>
      </c>
      <c r="E283">
        <v>71.644000000000005</v>
      </c>
      <c r="F283">
        <v>71.799000000000007</v>
      </c>
      <c r="G283">
        <v>72.721000000000004</v>
      </c>
      <c r="H283">
        <v>73.150999999999996</v>
      </c>
      <c r="I283">
        <v>72.941000000000003</v>
      </c>
      <c r="J283">
        <v>72.388000000000005</v>
      </c>
      <c r="K283">
        <v>72.061999999999998</v>
      </c>
      <c r="L283">
        <v>74.462000000000003</v>
      </c>
      <c r="M283">
        <v>69.338999999999999</v>
      </c>
      <c r="N283" t="s">
        <v>432</v>
      </c>
    </row>
    <row r="284" spans="1:14" x14ac:dyDescent="0.25">
      <c r="A284" t="s">
        <v>64</v>
      </c>
      <c r="B284" s="1" t="s">
        <v>26</v>
      </c>
      <c r="C284" t="s">
        <v>299</v>
      </c>
      <c r="D284" s="1" t="s">
        <v>87</v>
      </c>
      <c r="E284">
        <v>9639.7519531300004</v>
      </c>
      <c r="F284">
        <v>9703.7587890600007</v>
      </c>
      <c r="G284">
        <v>9715.0751953100007</v>
      </c>
      <c r="H284">
        <v>9736.2431640600007</v>
      </c>
      <c r="I284">
        <v>9686.8837890600007</v>
      </c>
      <c r="J284">
        <v>10004.528320310001</v>
      </c>
      <c r="K284">
        <v>10912.36132813</v>
      </c>
      <c r="L284">
        <v>10591.592773439999</v>
      </c>
      <c r="M284">
        <v>11494.95898438</v>
      </c>
      <c r="N284" t="s">
        <v>432</v>
      </c>
    </row>
    <row r="285" spans="1:14" x14ac:dyDescent="0.25">
      <c r="A285" t="s">
        <v>64</v>
      </c>
      <c r="B285" s="1" t="s">
        <v>26</v>
      </c>
      <c r="C285" t="s">
        <v>289</v>
      </c>
      <c r="D285" s="1" t="s">
        <v>185</v>
      </c>
      <c r="E285">
        <v>82.65609756097561</v>
      </c>
      <c r="F285">
        <v>82.25853658536586</v>
      </c>
      <c r="G285">
        <v>83.746341463414652</v>
      </c>
      <c r="H285">
        <v>83.041463414634165</v>
      </c>
      <c r="I285">
        <v>84.160975609756107</v>
      </c>
      <c r="J285">
        <v>81.658536585365866</v>
      </c>
      <c r="K285">
        <v>84.402439024390247</v>
      </c>
      <c r="L285">
        <v>84.121951219512198</v>
      </c>
      <c r="M285">
        <v>84.841463414634163</v>
      </c>
      <c r="N285" t="s">
        <v>432</v>
      </c>
    </row>
    <row r="286" spans="1:14" x14ac:dyDescent="0.25">
      <c r="A286" t="s">
        <v>328</v>
      </c>
      <c r="B286" s="1" t="s">
        <v>376</v>
      </c>
      <c r="C286" t="s">
        <v>299</v>
      </c>
      <c r="D286" s="1" t="s">
        <v>87</v>
      </c>
      <c r="E286">
        <v>918.50750731999995</v>
      </c>
      <c r="F286">
        <v>986.13311768000005</v>
      </c>
      <c r="G286">
        <v>1073.95800781</v>
      </c>
      <c r="H286">
        <v>1241.38574219</v>
      </c>
      <c r="I286">
        <v>1361.2028808600001</v>
      </c>
      <c r="J286">
        <v>1511.79626465</v>
      </c>
      <c r="K286">
        <v>1844.3315429700001</v>
      </c>
      <c r="L286">
        <v>1831.27734375</v>
      </c>
      <c r="M286">
        <v>2044.1837158200001</v>
      </c>
      <c r="N286">
        <v>2232.4763183599998</v>
      </c>
    </row>
    <row r="287" spans="1:14" x14ac:dyDescent="0.25">
      <c r="A287" t="s">
        <v>328</v>
      </c>
      <c r="B287" s="1" t="s">
        <v>376</v>
      </c>
      <c r="C287" t="s">
        <v>289</v>
      </c>
      <c r="D287" s="1" t="s">
        <v>185</v>
      </c>
      <c r="E287">
        <v>74.321951219512215</v>
      </c>
      <c r="F287">
        <v>74.670731707317074</v>
      </c>
      <c r="G287">
        <v>75.480487804878067</v>
      </c>
      <c r="H287">
        <v>75.680487804878055</v>
      </c>
      <c r="I287">
        <v>76.282926829268291</v>
      </c>
      <c r="J287">
        <v>75.029268292682929</v>
      </c>
      <c r="K287">
        <v>74.036585365853668</v>
      </c>
      <c r="L287">
        <v>75.643902439024387</v>
      </c>
      <c r="M287">
        <v>76.987804878048777</v>
      </c>
      <c r="N287" t="s">
        <v>432</v>
      </c>
    </row>
    <row r="288" spans="1:14" x14ac:dyDescent="0.25">
      <c r="A288" t="s">
        <v>519</v>
      </c>
      <c r="B288" s="1" t="s">
        <v>520</v>
      </c>
      <c r="C288" t="s">
        <v>299</v>
      </c>
      <c r="D288" s="1" t="s">
        <v>87</v>
      </c>
      <c r="E288">
        <v>224.76078051650421</v>
      </c>
      <c r="F288">
        <v>222.15844516003119</v>
      </c>
      <c r="G288">
        <v>238.77117193594353</v>
      </c>
      <c r="H288">
        <v>247.56318626784693</v>
      </c>
      <c r="I288">
        <v>254.8970845399715</v>
      </c>
      <c r="J288">
        <v>257.63444123164504</v>
      </c>
      <c r="K288">
        <v>294.08380079347972</v>
      </c>
      <c r="L288">
        <v>316.04387815619799</v>
      </c>
      <c r="M288">
        <v>326.26042198989938</v>
      </c>
      <c r="N288" t="s">
        <v>432</v>
      </c>
    </row>
    <row r="289" spans="1:14" x14ac:dyDescent="0.25">
      <c r="A289" t="s">
        <v>519</v>
      </c>
      <c r="B289" s="1" t="s">
        <v>520</v>
      </c>
      <c r="C289" t="s">
        <v>289</v>
      </c>
      <c r="D289" s="1" t="s">
        <v>185</v>
      </c>
      <c r="E289">
        <v>70.367504336277918</v>
      </c>
      <c r="F289">
        <v>70.60593491921496</v>
      </c>
      <c r="G289">
        <v>70.80799152679063</v>
      </c>
      <c r="H289">
        <v>71.134161358780148</v>
      </c>
      <c r="I289">
        <v>71.369484201614355</v>
      </c>
      <c r="J289">
        <v>70.748333332812891</v>
      </c>
      <c r="K289">
        <v>69.671422419122692</v>
      </c>
      <c r="L289">
        <v>71.68492312390606</v>
      </c>
      <c r="M289">
        <v>71.973612596791696</v>
      </c>
      <c r="N289" t="s">
        <v>432</v>
      </c>
    </row>
    <row r="290" spans="1:14" x14ac:dyDescent="0.25">
      <c r="A290" t="s">
        <v>521</v>
      </c>
      <c r="B290" s="1" t="s">
        <v>522</v>
      </c>
      <c r="C290" t="s">
        <v>299</v>
      </c>
      <c r="D290" s="1" t="s">
        <v>87</v>
      </c>
      <c r="E290">
        <v>43.102750278288802</v>
      </c>
      <c r="F290">
        <v>40.463009410547876</v>
      </c>
      <c r="G290">
        <v>39.326190898192515</v>
      </c>
      <c r="H290">
        <v>41.275708260693165</v>
      </c>
      <c r="I290">
        <v>37.37406463990763</v>
      </c>
      <c r="J290">
        <v>38.183598657509727</v>
      </c>
      <c r="K290">
        <v>39.480118449600198</v>
      </c>
      <c r="L290">
        <v>40.264442766293961</v>
      </c>
      <c r="M290">
        <v>38.737036453678336</v>
      </c>
      <c r="N290" t="s">
        <v>432</v>
      </c>
    </row>
    <row r="291" spans="1:14" x14ac:dyDescent="0.25">
      <c r="A291" t="s">
        <v>521</v>
      </c>
      <c r="B291" s="1" t="s">
        <v>522</v>
      </c>
      <c r="C291" t="s">
        <v>289</v>
      </c>
      <c r="D291" s="1" t="s">
        <v>185</v>
      </c>
      <c r="E291">
        <v>60.992134701792793</v>
      </c>
      <c r="F291">
        <v>61.401693829242681</v>
      </c>
      <c r="G291">
        <v>61.57950838574093</v>
      </c>
      <c r="H291">
        <v>62.339987641498439</v>
      </c>
      <c r="I291">
        <v>62.797446520066913</v>
      </c>
      <c r="J291">
        <v>62.818099501921431</v>
      </c>
      <c r="K291">
        <v>62.37998872274833</v>
      </c>
      <c r="L291">
        <v>63.458310280044664</v>
      </c>
      <c r="M291">
        <v>64.517895793685256</v>
      </c>
      <c r="N291" t="s">
        <v>432</v>
      </c>
    </row>
    <row r="292" spans="1:14" x14ac:dyDescent="0.25">
      <c r="A292" t="s">
        <v>523</v>
      </c>
      <c r="B292" s="1" t="s">
        <v>524</v>
      </c>
      <c r="C292" t="s">
        <v>299</v>
      </c>
      <c r="D292" s="1" t="s">
        <v>87</v>
      </c>
      <c r="E292">
        <v>73.723570676452795</v>
      </c>
      <c r="F292">
        <v>73.222652951862642</v>
      </c>
      <c r="G292">
        <v>71.090616586716536</v>
      </c>
      <c r="H292">
        <v>72.572926460313866</v>
      </c>
      <c r="I292">
        <v>76.186324828891415</v>
      </c>
      <c r="J292">
        <v>78.581897739664498</v>
      </c>
      <c r="K292">
        <v>92.19740004550664</v>
      </c>
      <c r="L292">
        <v>93.719611328826574</v>
      </c>
      <c r="M292">
        <v>92.807197970927717</v>
      </c>
      <c r="N292" t="s">
        <v>432</v>
      </c>
    </row>
    <row r="293" spans="1:14" x14ac:dyDescent="0.25">
      <c r="A293" t="s">
        <v>523</v>
      </c>
      <c r="B293" s="1" t="s">
        <v>524</v>
      </c>
      <c r="C293" t="s">
        <v>289</v>
      </c>
      <c r="D293" s="1" t="s">
        <v>185</v>
      </c>
      <c r="E293">
        <v>67.349507197730389</v>
      </c>
      <c r="F293">
        <v>67.67919390419901</v>
      </c>
      <c r="G293">
        <v>67.995291535031839</v>
      </c>
      <c r="H293">
        <v>68.281003364481919</v>
      </c>
      <c r="I293">
        <v>68.55742562541181</v>
      </c>
      <c r="J293">
        <v>68.040356336937975</v>
      </c>
      <c r="K293">
        <v>66.366290297830588</v>
      </c>
      <c r="L293">
        <v>69.301094675552946</v>
      </c>
      <c r="M293">
        <v>69.596374657151486</v>
      </c>
      <c r="N293" t="s">
        <v>432</v>
      </c>
    </row>
    <row r="294" spans="1:14" x14ac:dyDescent="0.25">
      <c r="A294" t="s">
        <v>167</v>
      </c>
      <c r="B294" s="1" t="s">
        <v>326</v>
      </c>
      <c r="C294" t="s">
        <v>299</v>
      </c>
      <c r="D294" s="1" t="s">
        <v>87</v>
      </c>
      <c r="E294">
        <v>5421.9321289099998</v>
      </c>
      <c r="F294">
        <v>5475.1396484400002</v>
      </c>
      <c r="G294">
        <v>5713.1186523400002</v>
      </c>
      <c r="H294">
        <v>6227.0839843800004</v>
      </c>
      <c r="I294">
        <v>6221.7387695300004</v>
      </c>
      <c r="J294">
        <v>6785.8623046900002</v>
      </c>
      <c r="K294">
        <v>7632.5727539099998</v>
      </c>
      <c r="L294">
        <v>7022.6269531300004</v>
      </c>
      <c r="M294">
        <v>7510.9941406300004</v>
      </c>
      <c r="N294">
        <v>8169.9125976599998</v>
      </c>
    </row>
    <row r="295" spans="1:14" x14ac:dyDescent="0.25">
      <c r="A295" t="s">
        <v>167</v>
      </c>
      <c r="B295" s="1" t="s">
        <v>326</v>
      </c>
      <c r="C295" t="s">
        <v>289</v>
      </c>
      <c r="D295" s="1" t="s">
        <v>185</v>
      </c>
      <c r="E295">
        <v>82.292682926829272</v>
      </c>
      <c r="F295">
        <v>82.685365853658539</v>
      </c>
      <c r="G295">
        <v>82.095121951219525</v>
      </c>
      <c r="H295">
        <v>82.295121951219514</v>
      </c>
      <c r="I295">
        <v>82.639024390243918</v>
      </c>
      <c r="J295">
        <v>82.143902439024401</v>
      </c>
      <c r="K295">
        <v>82.597560975609753</v>
      </c>
      <c r="L295">
        <v>82.946341463414655</v>
      </c>
      <c r="M295">
        <v>83.358536585365854</v>
      </c>
      <c r="N295" t="s">
        <v>432</v>
      </c>
    </row>
    <row r="296" spans="1:14" x14ac:dyDescent="0.25">
      <c r="A296" t="s">
        <v>525</v>
      </c>
      <c r="B296" s="1" t="s">
        <v>526</v>
      </c>
      <c r="C296" t="s">
        <v>299</v>
      </c>
      <c r="D296" s="1" t="s">
        <v>87</v>
      </c>
      <c r="E296" t="s">
        <v>432</v>
      </c>
      <c r="F296" t="s">
        <v>432</v>
      </c>
      <c r="G296" t="s">
        <v>432</v>
      </c>
      <c r="H296" t="s">
        <v>432</v>
      </c>
      <c r="I296" t="s">
        <v>432</v>
      </c>
      <c r="J296" t="s">
        <v>432</v>
      </c>
      <c r="K296" t="s">
        <v>432</v>
      </c>
      <c r="L296" t="s">
        <v>432</v>
      </c>
      <c r="M296" t="s">
        <v>432</v>
      </c>
      <c r="N296" t="s">
        <v>432</v>
      </c>
    </row>
    <row r="297" spans="1:14" x14ac:dyDescent="0.25">
      <c r="A297" t="s">
        <v>525</v>
      </c>
      <c r="B297" s="1" t="s">
        <v>526</v>
      </c>
      <c r="C297" t="s">
        <v>289</v>
      </c>
      <c r="D297" s="1" t="s">
        <v>185</v>
      </c>
      <c r="E297">
        <v>83.224390243902448</v>
      </c>
      <c r="F297">
        <v>83.275609756097566</v>
      </c>
      <c r="G297">
        <v>83.526829268292687</v>
      </c>
      <c r="H297">
        <v>83.678048780487828</v>
      </c>
      <c r="I297">
        <v>83.929268292682934</v>
      </c>
      <c r="J297">
        <v>84.129268292682923</v>
      </c>
      <c r="K297">
        <v>83.729268292682946</v>
      </c>
      <c r="L297">
        <v>83.080487804878061</v>
      </c>
      <c r="M297">
        <v>83.180487804878055</v>
      </c>
      <c r="N297" t="s">
        <v>432</v>
      </c>
    </row>
    <row r="298" spans="1:14" x14ac:dyDescent="0.25">
      <c r="A298" t="s">
        <v>394</v>
      </c>
      <c r="B298" s="1" t="s">
        <v>100</v>
      </c>
      <c r="C298" t="s">
        <v>299</v>
      </c>
      <c r="D298" s="1" t="s">
        <v>87</v>
      </c>
      <c r="E298">
        <v>22.29386139</v>
      </c>
      <c r="F298">
        <v>24.207939150000001</v>
      </c>
      <c r="G298">
        <v>23.62072182</v>
      </c>
      <c r="H298">
        <v>21.12731934</v>
      </c>
      <c r="I298">
        <v>15.500848769999999</v>
      </c>
      <c r="J298">
        <v>16.782953259999999</v>
      </c>
      <c r="K298">
        <v>17.17938805</v>
      </c>
      <c r="L298">
        <v>15.85809231</v>
      </c>
      <c r="M298">
        <v>17.440034870000002</v>
      </c>
      <c r="N298" t="s">
        <v>432</v>
      </c>
    </row>
    <row r="299" spans="1:14" x14ac:dyDescent="0.25">
      <c r="A299" t="s">
        <v>394</v>
      </c>
      <c r="B299" s="1" t="s">
        <v>100</v>
      </c>
      <c r="C299" t="s">
        <v>289</v>
      </c>
      <c r="D299" s="1" t="s">
        <v>185</v>
      </c>
      <c r="E299">
        <v>63.362000000000002</v>
      </c>
      <c r="F299">
        <v>63.430999999999997</v>
      </c>
      <c r="G299">
        <v>63.433</v>
      </c>
      <c r="H299">
        <v>63.491</v>
      </c>
      <c r="I299">
        <v>63.503999999999998</v>
      </c>
      <c r="J299">
        <v>62.706000000000003</v>
      </c>
      <c r="K299">
        <v>62.515999999999998</v>
      </c>
      <c r="L299">
        <v>63.067999999999998</v>
      </c>
      <c r="M299">
        <v>63.631999999999998</v>
      </c>
      <c r="N299" t="s">
        <v>432</v>
      </c>
    </row>
    <row r="300" spans="1:14" x14ac:dyDescent="0.25">
      <c r="A300" t="s">
        <v>361</v>
      </c>
      <c r="B300" s="1" t="s">
        <v>88</v>
      </c>
      <c r="C300" t="s">
        <v>299</v>
      </c>
      <c r="D300" s="1" t="s">
        <v>87</v>
      </c>
      <c r="E300">
        <v>34.973106379999997</v>
      </c>
      <c r="F300">
        <v>34.030757899999998</v>
      </c>
      <c r="G300">
        <v>37.60110092</v>
      </c>
      <c r="H300">
        <v>36.703029630000003</v>
      </c>
      <c r="I300">
        <v>36.915191649999997</v>
      </c>
      <c r="J300">
        <v>42.378818510000002</v>
      </c>
      <c r="K300">
        <v>46.41017532</v>
      </c>
      <c r="L300">
        <v>40.034538269999999</v>
      </c>
      <c r="M300">
        <v>41.266647339999999</v>
      </c>
      <c r="N300" t="s">
        <v>432</v>
      </c>
    </row>
    <row r="301" spans="1:14" x14ac:dyDescent="0.25">
      <c r="A301" t="s">
        <v>361</v>
      </c>
      <c r="B301" s="1" t="s">
        <v>88</v>
      </c>
      <c r="C301" t="s">
        <v>289</v>
      </c>
      <c r="D301" s="1" t="s">
        <v>185</v>
      </c>
      <c r="E301">
        <v>62.323999999999998</v>
      </c>
      <c r="F301">
        <v>63.162999999999997</v>
      </c>
      <c r="G301">
        <v>63.914000000000001</v>
      </c>
      <c r="H301">
        <v>64.463999999999999</v>
      </c>
      <c r="I301">
        <v>64.995000000000005</v>
      </c>
      <c r="J301">
        <v>65.215999999999994</v>
      </c>
      <c r="K301">
        <v>64.781999999999996</v>
      </c>
      <c r="L301">
        <v>66.037000000000006</v>
      </c>
      <c r="M301">
        <v>67.352999999999994</v>
      </c>
      <c r="N301" t="s">
        <v>432</v>
      </c>
    </row>
    <row r="302" spans="1:14" x14ac:dyDescent="0.25">
      <c r="A302" t="s">
        <v>199</v>
      </c>
      <c r="B302" s="1" t="s">
        <v>408</v>
      </c>
      <c r="C302" t="s">
        <v>299</v>
      </c>
      <c r="D302" s="1" t="s">
        <v>87</v>
      </c>
      <c r="E302">
        <v>368.77331543000003</v>
      </c>
      <c r="F302">
        <v>350.71160888999998</v>
      </c>
      <c r="G302">
        <v>366.36639403999999</v>
      </c>
      <c r="H302">
        <v>409.84710693</v>
      </c>
      <c r="I302">
        <v>419.32568358999998</v>
      </c>
      <c r="J302">
        <v>406.52005005000001</v>
      </c>
      <c r="K302">
        <v>476.94366454999999</v>
      </c>
      <c r="L302">
        <v>458.21963500999999</v>
      </c>
      <c r="M302">
        <v>450.33853148999998</v>
      </c>
      <c r="N302" t="s">
        <v>432</v>
      </c>
    </row>
    <row r="303" spans="1:14" x14ac:dyDescent="0.25">
      <c r="A303" t="s">
        <v>199</v>
      </c>
      <c r="B303" s="1" t="s">
        <v>408</v>
      </c>
      <c r="C303" t="s">
        <v>289</v>
      </c>
      <c r="D303" s="1" t="s">
        <v>185</v>
      </c>
      <c r="E303">
        <v>75.287999999999997</v>
      </c>
      <c r="F303">
        <v>75.370999999999995</v>
      </c>
      <c r="G303">
        <v>75.542000000000002</v>
      </c>
      <c r="H303">
        <v>75.733999999999995</v>
      </c>
      <c r="I303">
        <v>75.900000000000006</v>
      </c>
      <c r="J303">
        <v>76.057000000000002</v>
      </c>
      <c r="K303">
        <v>73.917000000000002</v>
      </c>
      <c r="L303">
        <v>75.444000000000003</v>
      </c>
      <c r="M303">
        <v>76.656999999999996</v>
      </c>
      <c r="N303" t="s">
        <v>432</v>
      </c>
    </row>
    <row r="304" spans="1:14" x14ac:dyDescent="0.25">
      <c r="A304" t="s">
        <v>242</v>
      </c>
      <c r="B304" s="1" t="s">
        <v>56</v>
      </c>
      <c r="C304" t="s">
        <v>299</v>
      </c>
      <c r="D304" s="1" t="s">
        <v>87</v>
      </c>
      <c r="E304">
        <v>837.47290038999995</v>
      </c>
      <c r="F304">
        <v>1017.99908447</v>
      </c>
      <c r="G304">
        <v>961.57415771000001</v>
      </c>
      <c r="H304">
        <v>833.21575928000004</v>
      </c>
      <c r="I304">
        <v>880.79962158000001</v>
      </c>
      <c r="J304">
        <v>845.82440185999997</v>
      </c>
      <c r="K304">
        <v>901.09185791000004</v>
      </c>
      <c r="L304">
        <v>883.91467284999999</v>
      </c>
      <c r="M304">
        <v>1159.0281982399999</v>
      </c>
      <c r="N304" t="s">
        <v>432</v>
      </c>
    </row>
    <row r="305" spans="1:14" x14ac:dyDescent="0.25">
      <c r="A305" t="s">
        <v>242</v>
      </c>
      <c r="B305" s="1" t="s">
        <v>56</v>
      </c>
      <c r="C305" t="s">
        <v>289</v>
      </c>
      <c r="D305" s="1" t="s">
        <v>185</v>
      </c>
      <c r="E305">
        <v>78.606999999999999</v>
      </c>
      <c r="F305">
        <v>78.912999999999997</v>
      </c>
      <c r="G305">
        <v>79.227999999999994</v>
      </c>
      <c r="H305">
        <v>79.433000000000007</v>
      </c>
      <c r="I305">
        <v>79.706999999999994</v>
      </c>
      <c r="J305">
        <v>78.712999999999994</v>
      </c>
      <c r="K305">
        <v>78.052000000000007</v>
      </c>
      <c r="L305">
        <v>80.760000000000005</v>
      </c>
      <c r="M305">
        <v>81.040999999999997</v>
      </c>
      <c r="N305" t="s">
        <v>432</v>
      </c>
    </row>
    <row r="306" spans="1:14" x14ac:dyDescent="0.25">
      <c r="A306" t="s">
        <v>229</v>
      </c>
      <c r="B306" s="1" t="s">
        <v>18</v>
      </c>
      <c r="C306" t="s">
        <v>299</v>
      </c>
      <c r="D306" s="1" t="s">
        <v>87</v>
      </c>
      <c r="E306">
        <v>28.978422160000001</v>
      </c>
      <c r="F306">
        <v>27.58086205</v>
      </c>
      <c r="G306">
        <v>28.494676590000001</v>
      </c>
      <c r="H306">
        <v>31.16962242</v>
      </c>
      <c r="I306">
        <v>31.408948899999999</v>
      </c>
      <c r="J306">
        <v>28.202116010000001</v>
      </c>
      <c r="K306">
        <v>30.558832169999999</v>
      </c>
      <c r="L306">
        <v>31.0949192</v>
      </c>
      <c r="M306">
        <v>33.980247499999997</v>
      </c>
      <c r="N306" t="s">
        <v>432</v>
      </c>
    </row>
    <row r="307" spans="1:14" x14ac:dyDescent="0.25">
      <c r="A307" t="s">
        <v>229</v>
      </c>
      <c r="B307" s="1" t="s">
        <v>18</v>
      </c>
      <c r="C307" t="s">
        <v>289</v>
      </c>
      <c r="D307" s="1" t="s">
        <v>185</v>
      </c>
      <c r="E307">
        <v>57.851999999999997</v>
      </c>
      <c r="F307">
        <v>58.286000000000001</v>
      </c>
      <c r="G307">
        <v>58.561999999999998</v>
      </c>
      <c r="H307">
        <v>58.872999999999998</v>
      </c>
      <c r="I307">
        <v>59.216999999999999</v>
      </c>
      <c r="J307">
        <v>58.857999999999997</v>
      </c>
      <c r="K307">
        <v>59.116</v>
      </c>
      <c r="L307">
        <v>60.034999999999997</v>
      </c>
      <c r="M307">
        <v>60.439</v>
      </c>
      <c r="N307" t="s">
        <v>432</v>
      </c>
    </row>
    <row r="308" spans="1:14" x14ac:dyDescent="0.25">
      <c r="A308" t="s">
        <v>179</v>
      </c>
      <c r="B308" s="1" t="s">
        <v>66</v>
      </c>
      <c r="C308" t="s">
        <v>299</v>
      </c>
      <c r="D308" s="1" t="s">
        <v>87</v>
      </c>
      <c r="E308">
        <v>2249.0046386700001</v>
      </c>
      <c r="F308">
        <v>2326.6701660200001</v>
      </c>
      <c r="G308">
        <v>2562.8857421900002</v>
      </c>
      <c r="H308">
        <v>2759.9118652299999</v>
      </c>
      <c r="I308">
        <v>2947.2402343799999</v>
      </c>
      <c r="J308">
        <v>3140.7702636700001</v>
      </c>
      <c r="K308">
        <v>3641.0383300799999</v>
      </c>
      <c r="L308">
        <v>3362.4238281299999</v>
      </c>
      <c r="M308">
        <v>3623.4609375</v>
      </c>
      <c r="N308" t="s">
        <v>432</v>
      </c>
    </row>
    <row r="309" spans="1:14" x14ac:dyDescent="0.25">
      <c r="A309" t="s">
        <v>179</v>
      </c>
      <c r="B309" s="1" t="s">
        <v>66</v>
      </c>
      <c r="C309" t="s">
        <v>289</v>
      </c>
      <c r="D309" s="1" t="s">
        <v>185</v>
      </c>
      <c r="E309">
        <v>81.89756097560975</v>
      </c>
      <c r="F309">
        <v>82.45365853658538</v>
      </c>
      <c r="G309">
        <v>82.346341463414646</v>
      </c>
      <c r="H309">
        <v>82.248780487804893</v>
      </c>
      <c r="I309">
        <v>82.658536585365852</v>
      </c>
      <c r="J309">
        <v>82.097560975609767</v>
      </c>
      <c r="K309">
        <v>82.25853658536586</v>
      </c>
      <c r="L309">
        <v>82.448780487804896</v>
      </c>
      <c r="M309">
        <v>83.507317073170739</v>
      </c>
      <c r="N309" t="s">
        <v>432</v>
      </c>
    </row>
    <row r="310" spans="1:14" x14ac:dyDescent="0.25">
      <c r="A310" t="s">
        <v>59</v>
      </c>
      <c r="B310" s="1" t="s">
        <v>377</v>
      </c>
      <c r="C310" t="s">
        <v>299</v>
      </c>
      <c r="D310" s="1" t="s">
        <v>87</v>
      </c>
      <c r="E310">
        <v>557.35211182</v>
      </c>
      <c r="F310">
        <v>619.35668944999998</v>
      </c>
      <c r="G310">
        <v>553.06298828000001</v>
      </c>
      <c r="H310">
        <v>702.8359375</v>
      </c>
      <c r="I310">
        <v>793.66851807</v>
      </c>
      <c r="J310">
        <v>687.02435303000004</v>
      </c>
      <c r="K310">
        <v>782.16351318</v>
      </c>
      <c r="L310">
        <v>859.05035399999997</v>
      </c>
      <c r="M310">
        <v>894.21533203000001</v>
      </c>
      <c r="N310" t="s">
        <v>432</v>
      </c>
    </row>
    <row r="311" spans="1:14" x14ac:dyDescent="0.25">
      <c r="A311" t="s">
        <v>59</v>
      </c>
      <c r="B311" s="1" t="s">
        <v>377</v>
      </c>
      <c r="C311" t="s">
        <v>289</v>
      </c>
      <c r="D311" s="1" t="s">
        <v>185</v>
      </c>
      <c r="E311">
        <v>65.292000000000002</v>
      </c>
      <c r="F311">
        <v>65.477000000000004</v>
      </c>
      <c r="G311">
        <v>65.673000000000002</v>
      </c>
      <c r="H311">
        <v>65.87</v>
      </c>
      <c r="I311">
        <v>66.046999999999997</v>
      </c>
      <c r="J311">
        <v>65.387</v>
      </c>
      <c r="K311">
        <v>65.421000000000006</v>
      </c>
      <c r="L311">
        <v>66.724999999999994</v>
      </c>
      <c r="M311">
        <v>66.944999999999993</v>
      </c>
      <c r="N311" t="s">
        <v>432</v>
      </c>
    </row>
    <row r="312" spans="1:14" x14ac:dyDescent="0.25">
      <c r="A312" t="s">
        <v>243</v>
      </c>
      <c r="B312" s="1" t="s">
        <v>9</v>
      </c>
      <c r="C312" t="s">
        <v>299</v>
      </c>
      <c r="D312" s="1" t="s">
        <v>87</v>
      </c>
      <c r="E312">
        <v>57.123313899999999</v>
      </c>
      <c r="F312">
        <v>49.900840760000001</v>
      </c>
      <c r="G312">
        <v>55.224464419999997</v>
      </c>
      <c r="H312">
        <v>49.683074949999998</v>
      </c>
      <c r="I312">
        <v>54.63365555</v>
      </c>
      <c r="J312">
        <v>53.899745940000003</v>
      </c>
      <c r="K312">
        <v>73.630943299999998</v>
      </c>
      <c r="L312">
        <v>91.541259769999996</v>
      </c>
      <c r="M312">
        <v>92.114440920000007</v>
      </c>
      <c r="N312" t="s">
        <v>432</v>
      </c>
    </row>
    <row r="313" spans="1:14" x14ac:dyDescent="0.25">
      <c r="A313" t="s">
        <v>243</v>
      </c>
      <c r="B313" s="1" t="s">
        <v>9</v>
      </c>
      <c r="C313" t="s">
        <v>289</v>
      </c>
      <c r="D313" s="1" t="s">
        <v>185</v>
      </c>
      <c r="E313">
        <v>66.498000000000005</v>
      </c>
      <c r="F313">
        <v>66.822999999999993</v>
      </c>
      <c r="G313">
        <v>67.087999999999994</v>
      </c>
      <c r="H313">
        <v>67.418999999999997</v>
      </c>
      <c r="I313">
        <v>67.64</v>
      </c>
      <c r="J313">
        <v>66.793999999999997</v>
      </c>
      <c r="K313">
        <v>66.762</v>
      </c>
      <c r="L313">
        <v>68.281000000000006</v>
      </c>
      <c r="M313">
        <v>68.483999999999995</v>
      </c>
      <c r="N313" t="s">
        <v>432</v>
      </c>
    </row>
    <row r="314" spans="1:14" x14ac:dyDescent="0.25">
      <c r="A314" t="s">
        <v>390</v>
      </c>
      <c r="B314" s="1" t="s">
        <v>226</v>
      </c>
      <c r="C314" t="s">
        <v>299</v>
      </c>
      <c r="D314" s="1" t="s">
        <v>87</v>
      </c>
      <c r="E314">
        <v>515.72247314000003</v>
      </c>
      <c r="F314">
        <v>540.39239501999998</v>
      </c>
      <c r="G314">
        <v>594.86120604999996</v>
      </c>
      <c r="H314">
        <v>640.62182616999996</v>
      </c>
      <c r="I314">
        <v>639.18286133000004</v>
      </c>
      <c r="J314">
        <v>541.95184326000003</v>
      </c>
      <c r="K314">
        <v>593.77947998000002</v>
      </c>
      <c r="L314">
        <v>590.91522216999999</v>
      </c>
      <c r="M314">
        <v>616.20739746000004</v>
      </c>
      <c r="N314" t="s">
        <v>432</v>
      </c>
    </row>
    <row r="315" spans="1:14" x14ac:dyDescent="0.25">
      <c r="A315" t="s">
        <v>390</v>
      </c>
      <c r="B315" s="1" t="s">
        <v>226</v>
      </c>
      <c r="C315" t="s">
        <v>289</v>
      </c>
      <c r="D315" s="1" t="s">
        <v>185</v>
      </c>
      <c r="E315">
        <v>74.353170731707323</v>
      </c>
      <c r="F315">
        <v>74.394878048780498</v>
      </c>
      <c r="G315">
        <v>74.514634146341464</v>
      </c>
      <c r="H315">
        <v>74.416341463414639</v>
      </c>
      <c r="I315">
        <v>74.235853658536584</v>
      </c>
      <c r="J315">
        <v>74.177073170731703</v>
      </c>
      <c r="K315">
        <v>73.680243902439031</v>
      </c>
      <c r="L315">
        <v>73.514634146341464</v>
      </c>
      <c r="M315">
        <v>73.412195121951228</v>
      </c>
      <c r="N315" t="s">
        <v>432</v>
      </c>
    </row>
    <row r="316" spans="1:14" x14ac:dyDescent="0.25">
      <c r="A316" t="s">
        <v>391</v>
      </c>
      <c r="B316" s="1" t="s">
        <v>369</v>
      </c>
      <c r="C316" t="s">
        <v>299</v>
      </c>
      <c r="D316" s="1" t="s">
        <v>87</v>
      </c>
      <c r="E316">
        <v>553.91259765999996</v>
      </c>
      <c r="F316">
        <v>489.92230224999997</v>
      </c>
      <c r="G316">
        <v>512.54974364999998</v>
      </c>
      <c r="H316">
        <v>528.26306151999995</v>
      </c>
      <c r="I316">
        <v>549.72601318</v>
      </c>
      <c r="J316">
        <v>535.11669921999999</v>
      </c>
      <c r="K316">
        <v>606.13415526999995</v>
      </c>
      <c r="L316">
        <v>650.97070312999995</v>
      </c>
      <c r="M316">
        <v>760.98840331999997</v>
      </c>
      <c r="N316" t="s">
        <v>432</v>
      </c>
    </row>
    <row r="317" spans="1:14" x14ac:dyDescent="0.25">
      <c r="A317" t="s">
        <v>391</v>
      </c>
      <c r="B317" s="1" t="s">
        <v>369</v>
      </c>
      <c r="C317" t="s">
        <v>289</v>
      </c>
      <c r="D317" s="1" t="s">
        <v>185</v>
      </c>
      <c r="E317">
        <v>74.430999999999997</v>
      </c>
      <c r="F317">
        <v>74.376000000000005</v>
      </c>
      <c r="G317">
        <v>74.260999999999996</v>
      </c>
      <c r="H317">
        <v>74.301000000000002</v>
      </c>
      <c r="I317">
        <v>74.53</v>
      </c>
      <c r="J317">
        <v>70.448999999999998</v>
      </c>
      <c r="K317">
        <v>69.75</v>
      </c>
      <c r="L317">
        <v>73.972999999999999</v>
      </c>
      <c r="M317">
        <v>75.069000000000003</v>
      </c>
      <c r="N317" t="s">
        <v>432</v>
      </c>
    </row>
    <row r="318" spans="1:14" x14ac:dyDescent="0.25">
      <c r="A318" t="s">
        <v>206</v>
      </c>
      <c r="B318" s="1" t="s">
        <v>407</v>
      </c>
      <c r="C318" t="s">
        <v>299</v>
      </c>
      <c r="D318" s="1" t="s">
        <v>87</v>
      </c>
      <c r="E318">
        <v>362.27624512</v>
      </c>
      <c r="F318">
        <v>399.77108765000003</v>
      </c>
      <c r="G318">
        <v>409.11758422999998</v>
      </c>
      <c r="H318">
        <v>428.00738525000003</v>
      </c>
      <c r="I318">
        <v>425.28103637999999</v>
      </c>
      <c r="J318">
        <v>403.03540039000001</v>
      </c>
      <c r="K318">
        <v>399.43988037000003</v>
      </c>
      <c r="L318">
        <v>468.53509521000001</v>
      </c>
      <c r="M318">
        <v>507.7762146</v>
      </c>
      <c r="N318" t="s">
        <v>432</v>
      </c>
    </row>
    <row r="319" spans="1:14" x14ac:dyDescent="0.25">
      <c r="A319" t="s">
        <v>206</v>
      </c>
      <c r="B319" s="1" t="s">
        <v>407</v>
      </c>
      <c r="C319" t="s">
        <v>289</v>
      </c>
      <c r="D319" s="1" t="s">
        <v>185</v>
      </c>
      <c r="E319">
        <v>65.305999999999997</v>
      </c>
      <c r="F319">
        <v>65.575999999999993</v>
      </c>
      <c r="G319">
        <v>65.760999999999996</v>
      </c>
      <c r="H319">
        <v>65.942999999999998</v>
      </c>
      <c r="I319">
        <v>66.195999999999998</v>
      </c>
      <c r="J319">
        <v>65.878</v>
      </c>
      <c r="K319">
        <v>66.152000000000001</v>
      </c>
      <c r="L319">
        <v>66.960999999999999</v>
      </c>
      <c r="M319">
        <v>67.197999999999993</v>
      </c>
      <c r="N319" t="s">
        <v>432</v>
      </c>
    </row>
    <row r="320" spans="1:14" x14ac:dyDescent="0.25">
      <c r="A320" t="s">
        <v>527</v>
      </c>
      <c r="B320" s="1" t="s">
        <v>528</v>
      </c>
      <c r="C320" t="s">
        <v>299</v>
      </c>
      <c r="D320" s="1" t="s">
        <v>87</v>
      </c>
      <c r="E320">
        <v>275.94518467858353</v>
      </c>
      <c r="F320">
        <v>280.36379333350391</v>
      </c>
      <c r="G320">
        <v>287.67052775354989</v>
      </c>
      <c r="H320">
        <v>277.24693408619925</v>
      </c>
      <c r="I320">
        <v>276.60489895036432</v>
      </c>
      <c r="J320">
        <v>277.3153421212985</v>
      </c>
      <c r="K320">
        <v>294.88863672599149</v>
      </c>
      <c r="L320">
        <v>304.78395517605247</v>
      </c>
      <c r="M320">
        <v>310.96972471720869</v>
      </c>
      <c r="N320" t="s">
        <v>432</v>
      </c>
    </row>
    <row r="321" spans="1:14" x14ac:dyDescent="0.25">
      <c r="A321" t="s">
        <v>527</v>
      </c>
      <c r="B321" s="1" t="s">
        <v>528</v>
      </c>
      <c r="C321" t="s">
        <v>289</v>
      </c>
      <c r="D321" s="1" t="s">
        <v>185</v>
      </c>
      <c r="E321">
        <v>70.151104916922776</v>
      </c>
      <c r="F321">
        <v>70.428927806811743</v>
      </c>
      <c r="G321">
        <v>70.709757530825087</v>
      </c>
      <c r="H321">
        <v>70.940321353269596</v>
      </c>
      <c r="I321">
        <v>71.243869504257603</v>
      </c>
      <c r="J321">
        <v>69.911078955564449</v>
      </c>
      <c r="K321">
        <v>69.711319347950493</v>
      </c>
      <c r="L321">
        <v>71.691831973777212</v>
      </c>
      <c r="M321">
        <v>72.0839412410497</v>
      </c>
      <c r="N321" t="s">
        <v>432</v>
      </c>
    </row>
    <row r="322" spans="1:14" x14ac:dyDescent="0.25">
      <c r="A322" t="s">
        <v>529</v>
      </c>
      <c r="B322" s="1" t="s">
        <v>530</v>
      </c>
      <c r="C322" t="s">
        <v>299</v>
      </c>
      <c r="D322" s="1" t="s">
        <v>87</v>
      </c>
      <c r="E322">
        <v>159.77275993366149</v>
      </c>
      <c r="F322">
        <v>158.31936374298431</v>
      </c>
      <c r="G322">
        <v>159.08733504683923</v>
      </c>
      <c r="H322">
        <v>139.90271965003686</v>
      </c>
      <c r="I322">
        <v>135.94469647548635</v>
      </c>
      <c r="J322">
        <v>125.75000542598245</v>
      </c>
      <c r="K322">
        <v>132.82447410909472</v>
      </c>
      <c r="L322">
        <v>137.17896056769524</v>
      </c>
      <c r="M322">
        <v>140.20433276584782</v>
      </c>
      <c r="N322" t="s">
        <v>432</v>
      </c>
    </row>
    <row r="323" spans="1:14" x14ac:dyDescent="0.25">
      <c r="A323" t="s">
        <v>529</v>
      </c>
      <c r="B323" s="1" t="s">
        <v>530</v>
      </c>
      <c r="C323" t="s">
        <v>289</v>
      </c>
      <c r="D323" s="1" t="s">
        <v>185</v>
      </c>
      <c r="E323">
        <v>69.287326361311713</v>
      </c>
      <c r="F323">
        <v>69.532837636300741</v>
      </c>
      <c r="G323">
        <v>69.814131637332835</v>
      </c>
      <c r="H323">
        <v>70.073366895865334</v>
      </c>
      <c r="I323">
        <v>70.417484585256005</v>
      </c>
      <c r="J323">
        <v>69.050634286621971</v>
      </c>
      <c r="K323">
        <v>68.928021478265251</v>
      </c>
      <c r="L323">
        <v>71.005531544339746</v>
      </c>
      <c r="M323">
        <v>71.275884988458245</v>
      </c>
      <c r="N323" t="s">
        <v>432</v>
      </c>
    </row>
    <row r="324" spans="1:14" x14ac:dyDescent="0.25">
      <c r="A324" t="s">
        <v>531</v>
      </c>
      <c r="B324" s="1" t="s">
        <v>532</v>
      </c>
      <c r="C324" t="s">
        <v>299</v>
      </c>
      <c r="D324" s="1" t="s">
        <v>87</v>
      </c>
      <c r="E324">
        <v>158.91248499838426</v>
      </c>
      <c r="F324">
        <v>157.35881161351136</v>
      </c>
      <c r="G324">
        <v>158.05527116323827</v>
      </c>
      <c r="H324">
        <v>138.63553644196949</v>
      </c>
      <c r="I324">
        <v>134.6863344313185</v>
      </c>
      <c r="J324">
        <v>124.4294757333507</v>
      </c>
      <c r="K324">
        <v>131.19471730862548</v>
      </c>
      <c r="L324">
        <v>135.66573767853092</v>
      </c>
      <c r="M324">
        <v>138.73807750718845</v>
      </c>
      <c r="N324" t="s">
        <v>432</v>
      </c>
    </row>
    <row r="325" spans="1:14" x14ac:dyDescent="0.25">
      <c r="A325" t="s">
        <v>531</v>
      </c>
      <c r="B325" s="1" t="s">
        <v>532</v>
      </c>
      <c r="C325" t="s">
        <v>289</v>
      </c>
      <c r="D325" s="1" t="s">
        <v>185</v>
      </c>
      <c r="E325">
        <v>69.251534860639808</v>
      </c>
      <c r="F325">
        <v>69.496182639909804</v>
      </c>
      <c r="G325">
        <v>69.777240946456715</v>
      </c>
      <c r="H325">
        <v>70.036844438833143</v>
      </c>
      <c r="I325">
        <v>70.380091780681667</v>
      </c>
      <c r="J325">
        <v>69.009096402637255</v>
      </c>
      <c r="K325">
        <v>68.89310322823205</v>
      </c>
      <c r="L325">
        <v>70.965432550888025</v>
      </c>
      <c r="M325">
        <v>71.319456088819507</v>
      </c>
      <c r="N325" t="s">
        <v>432</v>
      </c>
    </row>
    <row r="326" spans="1:14" x14ac:dyDescent="0.25">
      <c r="A326" t="s">
        <v>533</v>
      </c>
      <c r="B326" s="1" t="s">
        <v>534</v>
      </c>
      <c r="C326" t="s">
        <v>299</v>
      </c>
      <c r="D326" s="1" t="s">
        <v>87</v>
      </c>
      <c r="E326">
        <v>239.81113332826658</v>
      </c>
      <c r="F326">
        <v>237.46796004031305</v>
      </c>
      <c r="G326">
        <v>256.26051070771376</v>
      </c>
      <c r="H326">
        <v>265.98784734679253</v>
      </c>
      <c r="I326">
        <v>274.7121147789332</v>
      </c>
      <c r="J326">
        <v>278.02883489996293</v>
      </c>
      <c r="K326">
        <v>318.26485612846693</v>
      </c>
      <c r="L326">
        <v>342.95024163683956</v>
      </c>
      <c r="M326">
        <v>354.87935271466984</v>
      </c>
      <c r="N326" t="s">
        <v>432</v>
      </c>
    </row>
    <row r="327" spans="1:14" x14ac:dyDescent="0.25">
      <c r="A327" t="s">
        <v>533</v>
      </c>
      <c r="B327" s="1" t="s">
        <v>534</v>
      </c>
      <c r="C327" t="s">
        <v>289</v>
      </c>
      <c r="D327" s="1" t="s">
        <v>185</v>
      </c>
      <c r="E327">
        <v>71.207068301201602</v>
      </c>
      <c r="F327">
        <v>71.442180490771548</v>
      </c>
      <c r="G327">
        <v>71.65968346458429</v>
      </c>
      <c r="H327">
        <v>71.959798946259383</v>
      </c>
      <c r="I327">
        <v>72.189266673824349</v>
      </c>
      <c r="J327">
        <v>71.521116480826706</v>
      </c>
      <c r="K327">
        <v>70.395353032865415</v>
      </c>
      <c r="L327">
        <v>72.517202033029506</v>
      </c>
      <c r="M327">
        <v>72.742806072266731</v>
      </c>
      <c r="N327" t="s">
        <v>432</v>
      </c>
    </row>
    <row r="328" spans="1:14" x14ac:dyDescent="0.25">
      <c r="A328" t="s">
        <v>130</v>
      </c>
      <c r="B328" s="1" t="s">
        <v>399</v>
      </c>
      <c r="C328" t="s">
        <v>299</v>
      </c>
      <c r="D328" s="1" t="s">
        <v>87</v>
      </c>
      <c r="E328">
        <v>186.43643187999999</v>
      </c>
      <c r="F328">
        <v>171.18476867999999</v>
      </c>
      <c r="G328">
        <v>243.94540405000001</v>
      </c>
      <c r="H328">
        <v>276.46978760000002</v>
      </c>
      <c r="I328">
        <v>283.98425293000003</v>
      </c>
      <c r="J328">
        <v>305.48913573999999</v>
      </c>
      <c r="K328">
        <v>403.87823486000002</v>
      </c>
      <c r="L328">
        <v>394.42373657000002</v>
      </c>
      <c r="M328">
        <v>451.73007202000002</v>
      </c>
      <c r="N328" t="s">
        <v>432</v>
      </c>
    </row>
    <row r="329" spans="1:14" x14ac:dyDescent="0.25">
      <c r="A329" t="s">
        <v>130</v>
      </c>
      <c r="B329" s="1" t="s">
        <v>399</v>
      </c>
      <c r="C329" t="s">
        <v>289</v>
      </c>
      <c r="D329" s="1" t="s">
        <v>185</v>
      </c>
      <c r="E329">
        <v>70.117999999999995</v>
      </c>
      <c r="F329">
        <v>70.179000000000002</v>
      </c>
      <c r="G329">
        <v>70.375</v>
      </c>
      <c r="H329">
        <v>70.236000000000004</v>
      </c>
      <c r="I329">
        <v>70.180999999999997</v>
      </c>
      <c r="J329">
        <v>69.914000000000001</v>
      </c>
      <c r="K329">
        <v>68.991</v>
      </c>
      <c r="L329">
        <v>71.546000000000006</v>
      </c>
      <c r="M329">
        <v>71.197999999999993</v>
      </c>
      <c r="N329" t="s">
        <v>432</v>
      </c>
    </row>
    <row r="330" spans="1:14" x14ac:dyDescent="0.25">
      <c r="A330" t="s">
        <v>235</v>
      </c>
      <c r="B330" s="1" t="s">
        <v>370</v>
      </c>
      <c r="C330" t="s">
        <v>299</v>
      </c>
      <c r="D330" s="1" t="s">
        <v>87</v>
      </c>
      <c r="E330">
        <v>7354.1318359400002</v>
      </c>
      <c r="F330">
        <v>7157.92578125</v>
      </c>
      <c r="G330">
        <v>7101.640625</v>
      </c>
      <c r="H330">
        <v>7621.9702148400002</v>
      </c>
      <c r="I330">
        <v>7517.2534179699996</v>
      </c>
      <c r="J330">
        <v>7582.4155273400002</v>
      </c>
      <c r="K330">
        <v>8225.3876953100007</v>
      </c>
      <c r="L330">
        <v>7674.0981445300004</v>
      </c>
      <c r="M330">
        <v>8004.1684570300004</v>
      </c>
      <c r="N330" t="s">
        <v>432</v>
      </c>
    </row>
    <row r="331" spans="1:14" x14ac:dyDescent="0.25">
      <c r="A331" t="s">
        <v>235</v>
      </c>
      <c r="B331" s="1" t="s">
        <v>370</v>
      </c>
      <c r="C331" t="s">
        <v>289</v>
      </c>
      <c r="D331" s="1" t="s">
        <v>185</v>
      </c>
      <c r="E331">
        <v>85.322999999999993</v>
      </c>
      <c r="F331">
        <v>85.63</v>
      </c>
      <c r="G331">
        <v>85.878</v>
      </c>
      <c r="H331">
        <v>86.084000000000003</v>
      </c>
      <c r="I331">
        <v>86.150999999999996</v>
      </c>
      <c r="J331">
        <v>86.088999999999999</v>
      </c>
      <c r="K331">
        <v>85.113</v>
      </c>
      <c r="L331">
        <v>85.745999999999995</v>
      </c>
      <c r="M331">
        <v>86.372</v>
      </c>
      <c r="N331" t="s">
        <v>432</v>
      </c>
    </row>
    <row r="332" spans="1:14" x14ac:dyDescent="0.25">
      <c r="A332" t="s">
        <v>94</v>
      </c>
      <c r="B332" s="1" t="s">
        <v>254</v>
      </c>
      <c r="C332" t="s">
        <v>299</v>
      </c>
      <c r="D332" s="1" t="s">
        <v>87</v>
      </c>
      <c r="E332">
        <v>165.19296265</v>
      </c>
      <c r="F332">
        <v>168.41404724</v>
      </c>
      <c r="G332">
        <v>160.48896790000001</v>
      </c>
      <c r="H332">
        <v>188.64115906000001</v>
      </c>
      <c r="I332">
        <v>197.57131957999999</v>
      </c>
      <c r="J332">
        <v>188.77464294000001</v>
      </c>
      <c r="K332">
        <v>330.03753662000003</v>
      </c>
      <c r="L332">
        <v>448.24212646000001</v>
      </c>
      <c r="M332">
        <v>359.60980224999997</v>
      </c>
      <c r="N332" t="s">
        <v>432</v>
      </c>
    </row>
    <row r="333" spans="1:14" x14ac:dyDescent="0.25">
      <c r="A333" t="s">
        <v>94</v>
      </c>
      <c r="B333" s="1" t="s">
        <v>254</v>
      </c>
      <c r="C333" t="s">
        <v>289</v>
      </c>
      <c r="D333" s="1" t="s">
        <v>185</v>
      </c>
      <c r="E333">
        <v>70.810243902439026</v>
      </c>
      <c r="F333">
        <v>70.2239024390244</v>
      </c>
      <c r="G333">
        <v>70.54341463414633</v>
      </c>
      <c r="H333">
        <v>70.827073170731722</v>
      </c>
      <c r="I333">
        <v>71.053170731707326</v>
      </c>
      <c r="J333">
        <v>71.349024390243898</v>
      </c>
      <c r="K333">
        <v>71.645121951219522</v>
      </c>
      <c r="L333">
        <v>71.900731707317078</v>
      </c>
      <c r="M333">
        <v>72.122439024390246</v>
      </c>
      <c r="N333" t="s">
        <v>432</v>
      </c>
    </row>
    <row r="334" spans="1:14" x14ac:dyDescent="0.25">
      <c r="A334" t="s">
        <v>45</v>
      </c>
      <c r="B334" s="1" t="s">
        <v>302</v>
      </c>
      <c r="C334" t="s">
        <v>299</v>
      </c>
      <c r="D334" s="1" t="s">
        <v>87</v>
      </c>
      <c r="E334">
        <v>582.18743896000001</v>
      </c>
      <c r="F334">
        <v>604.88665771000001</v>
      </c>
      <c r="G334">
        <v>623.68841553000004</v>
      </c>
      <c r="H334">
        <v>745.75207520000004</v>
      </c>
      <c r="I334">
        <v>754.77441406000003</v>
      </c>
      <c r="J334">
        <v>896.24884033000001</v>
      </c>
      <c r="K334">
        <v>1024.2565918</v>
      </c>
      <c r="L334">
        <v>1032.9114990200001</v>
      </c>
      <c r="M334">
        <v>1147.6978759799999</v>
      </c>
      <c r="N334" t="s">
        <v>432</v>
      </c>
    </row>
    <row r="335" spans="1:14" x14ac:dyDescent="0.25">
      <c r="A335" t="s">
        <v>45</v>
      </c>
      <c r="B335" s="1" t="s">
        <v>302</v>
      </c>
      <c r="C335" t="s">
        <v>289</v>
      </c>
      <c r="D335" s="1" t="s">
        <v>185</v>
      </c>
      <c r="E335">
        <v>76.60243902439025</v>
      </c>
      <c r="F335">
        <v>76.541463414634165</v>
      </c>
      <c r="G335">
        <v>76.685365853658539</v>
      </c>
      <c r="H335">
        <v>77.885365853658541</v>
      </c>
      <c r="I335">
        <v>76.682926829268297</v>
      </c>
      <c r="J335">
        <v>75.931707317073176</v>
      </c>
      <c r="K335">
        <v>73.824390243902442</v>
      </c>
      <c r="L335">
        <v>76.187804878048794</v>
      </c>
      <c r="M335">
        <v>77.587804878048786</v>
      </c>
      <c r="N335" t="s">
        <v>432</v>
      </c>
    </row>
    <row r="336" spans="1:14" x14ac:dyDescent="0.25">
      <c r="A336" t="s">
        <v>396</v>
      </c>
      <c r="B336" s="1" t="s">
        <v>41</v>
      </c>
      <c r="C336" t="s">
        <v>299</v>
      </c>
      <c r="D336" s="1" t="s">
        <v>87</v>
      </c>
      <c r="E336">
        <v>162.85198975</v>
      </c>
      <c r="F336">
        <v>162.21507263000001</v>
      </c>
      <c r="G336">
        <v>166.8500061</v>
      </c>
      <c r="H336">
        <v>175.70518494000001</v>
      </c>
      <c r="I336">
        <v>178.73939514</v>
      </c>
      <c r="J336">
        <v>192.04043579</v>
      </c>
      <c r="K336">
        <v>209.57344054999999</v>
      </c>
      <c r="L336">
        <v>201.81098938</v>
      </c>
      <c r="M336">
        <v>232.24751282</v>
      </c>
      <c r="N336" t="s">
        <v>432</v>
      </c>
    </row>
    <row r="337" spans="1:14" x14ac:dyDescent="0.25">
      <c r="A337" t="s">
        <v>396</v>
      </c>
      <c r="B337" s="1" t="s">
        <v>41</v>
      </c>
      <c r="C337" t="s">
        <v>289</v>
      </c>
      <c r="D337" s="1" t="s">
        <v>185</v>
      </c>
      <c r="E337">
        <v>72.894000000000005</v>
      </c>
      <c r="F337">
        <v>73.227999999999994</v>
      </c>
      <c r="G337">
        <v>73.608000000000004</v>
      </c>
      <c r="H337">
        <v>73.945999999999998</v>
      </c>
      <c r="I337">
        <v>74.245000000000005</v>
      </c>
      <c r="J337">
        <v>73.132999999999996</v>
      </c>
      <c r="K337">
        <v>73.385000000000005</v>
      </c>
      <c r="L337">
        <v>75.161000000000001</v>
      </c>
      <c r="M337">
        <v>75.313000000000002</v>
      </c>
      <c r="N337" t="s">
        <v>432</v>
      </c>
    </row>
    <row r="338" spans="1:14" x14ac:dyDescent="0.25">
      <c r="A338" t="s">
        <v>114</v>
      </c>
      <c r="B338" s="1" t="s">
        <v>312</v>
      </c>
      <c r="C338" t="s">
        <v>299</v>
      </c>
      <c r="D338" s="1" t="s">
        <v>87</v>
      </c>
      <c r="E338">
        <v>40.356586460000003</v>
      </c>
      <c r="F338">
        <v>31.853572849999999</v>
      </c>
      <c r="G338">
        <v>36.758258820000002</v>
      </c>
      <c r="H338">
        <v>41.292064670000002</v>
      </c>
      <c r="I338">
        <v>41.019065859999998</v>
      </c>
      <c r="J338">
        <v>34.92252731</v>
      </c>
      <c r="K338">
        <v>44.098949429999998</v>
      </c>
      <c r="L338">
        <v>47.698135379999997</v>
      </c>
      <c r="M338">
        <v>52.961666110000003</v>
      </c>
      <c r="N338" t="s">
        <v>432</v>
      </c>
    </row>
    <row r="339" spans="1:14" x14ac:dyDescent="0.25">
      <c r="A339" t="s">
        <v>114</v>
      </c>
      <c r="B339" s="1" t="s">
        <v>312</v>
      </c>
      <c r="C339" t="s">
        <v>289</v>
      </c>
      <c r="D339" s="1" t="s">
        <v>185</v>
      </c>
      <c r="E339">
        <v>58.710999999999999</v>
      </c>
      <c r="F339">
        <v>59.454999999999998</v>
      </c>
      <c r="G339">
        <v>60.148000000000003</v>
      </c>
      <c r="H339">
        <v>60.79</v>
      </c>
      <c r="I339">
        <v>61.305999999999997</v>
      </c>
      <c r="J339">
        <v>61.39</v>
      </c>
      <c r="K339">
        <v>60.268000000000001</v>
      </c>
      <c r="L339">
        <v>63.011000000000003</v>
      </c>
      <c r="M339">
        <v>63.610999999999997</v>
      </c>
      <c r="N339" t="s">
        <v>432</v>
      </c>
    </row>
    <row r="340" spans="1:14" x14ac:dyDescent="0.25">
      <c r="A340" t="s">
        <v>60</v>
      </c>
      <c r="B340" s="1" t="s">
        <v>363</v>
      </c>
      <c r="C340" t="s">
        <v>299</v>
      </c>
      <c r="D340" s="1" t="s">
        <v>87</v>
      </c>
      <c r="E340">
        <v>63.62335968</v>
      </c>
      <c r="F340">
        <v>59.679103849999997</v>
      </c>
      <c r="G340">
        <v>59.517826079999999</v>
      </c>
      <c r="H340">
        <v>60.832618709999998</v>
      </c>
      <c r="I340">
        <v>53.721473690000003</v>
      </c>
      <c r="J340">
        <v>66.022842409999996</v>
      </c>
      <c r="K340">
        <v>96.862403869999994</v>
      </c>
      <c r="L340">
        <v>57.968757629999999</v>
      </c>
      <c r="M340">
        <v>56.189098360000003</v>
      </c>
      <c r="N340" t="s">
        <v>432</v>
      </c>
    </row>
    <row r="341" spans="1:14" x14ac:dyDescent="0.25">
      <c r="A341" t="s">
        <v>60</v>
      </c>
      <c r="B341" s="1" t="s">
        <v>363</v>
      </c>
      <c r="C341" t="s">
        <v>289</v>
      </c>
      <c r="D341" s="1" t="s">
        <v>185</v>
      </c>
      <c r="E341">
        <v>65.287999999999997</v>
      </c>
      <c r="F341">
        <v>65.64</v>
      </c>
      <c r="G341">
        <v>65.909000000000006</v>
      </c>
      <c r="H341">
        <v>66.231999999999999</v>
      </c>
      <c r="I341">
        <v>66.456999999999994</v>
      </c>
      <c r="J341">
        <v>66.611999999999995</v>
      </c>
      <c r="K341">
        <v>65.552999999999997</v>
      </c>
      <c r="L341">
        <v>66.506</v>
      </c>
      <c r="M341">
        <v>66.888999999999996</v>
      </c>
      <c r="N341" t="s">
        <v>432</v>
      </c>
    </row>
    <row r="342" spans="1:14" x14ac:dyDescent="0.25">
      <c r="A342" t="s">
        <v>374</v>
      </c>
      <c r="B342" s="1" t="s">
        <v>105</v>
      </c>
      <c r="C342" t="s">
        <v>299</v>
      </c>
      <c r="D342" s="1" t="s">
        <v>87</v>
      </c>
      <c r="E342">
        <v>476.50784302</v>
      </c>
      <c r="F342">
        <v>409.78051757999998</v>
      </c>
      <c r="G342">
        <v>447.95223999000001</v>
      </c>
      <c r="H342">
        <v>457.68072510000002</v>
      </c>
      <c r="I342">
        <v>419.14828490999997</v>
      </c>
      <c r="J342">
        <v>370.81643677</v>
      </c>
      <c r="K342">
        <v>449.95172119</v>
      </c>
      <c r="L342">
        <v>418.53683472</v>
      </c>
      <c r="M342">
        <v>397.09063721000001</v>
      </c>
      <c r="N342" t="s">
        <v>432</v>
      </c>
    </row>
    <row r="343" spans="1:14" x14ac:dyDescent="0.25">
      <c r="A343" t="s">
        <v>374</v>
      </c>
      <c r="B343" s="1" t="s">
        <v>105</v>
      </c>
      <c r="C343" t="s">
        <v>289</v>
      </c>
      <c r="D343" s="1" t="s">
        <v>185</v>
      </c>
      <c r="E343">
        <v>60.008000000000003</v>
      </c>
      <c r="F343">
        <v>60.81</v>
      </c>
      <c r="G343">
        <v>61.661000000000001</v>
      </c>
      <c r="H343">
        <v>62.579000000000001</v>
      </c>
      <c r="I343">
        <v>63.545999999999999</v>
      </c>
      <c r="J343">
        <v>64.070999999999998</v>
      </c>
      <c r="K343">
        <v>60.85</v>
      </c>
      <c r="L343">
        <v>64.19</v>
      </c>
      <c r="M343">
        <v>67.385000000000005</v>
      </c>
      <c r="N343" t="s">
        <v>432</v>
      </c>
    </row>
    <row r="344" spans="1:14" x14ac:dyDescent="0.25">
      <c r="A344" t="s">
        <v>19</v>
      </c>
      <c r="B344" s="1" t="s">
        <v>52</v>
      </c>
      <c r="C344" t="s">
        <v>299</v>
      </c>
      <c r="D344" s="1" t="s">
        <v>87</v>
      </c>
      <c r="E344">
        <v>973.30883788999995</v>
      </c>
      <c r="F344">
        <v>978.48120116999996</v>
      </c>
      <c r="G344">
        <v>1127.4750976600001</v>
      </c>
      <c r="H344">
        <v>1220.0769043</v>
      </c>
      <c r="I344">
        <v>1213.8680419899999</v>
      </c>
      <c r="J344">
        <v>1270.5256347699999</v>
      </c>
      <c r="K344">
        <v>1636.4578857399999</v>
      </c>
      <c r="L344">
        <v>2264.0705566400002</v>
      </c>
      <c r="M344">
        <v>2292.3732910200001</v>
      </c>
      <c r="N344" t="s">
        <v>432</v>
      </c>
    </row>
    <row r="345" spans="1:14" x14ac:dyDescent="0.25">
      <c r="A345" t="s">
        <v>19</v>
      </c>
      <c r="B345" s="1" t="s">
        <v>52</v>
      </c>
      <c r="C345" t="s">
        <v>289</v>
      </c>
      <c r="D345" s="1" t="s">
        <v>185</v>
      </c>
      <c r="E345">
        <v>60.896999999999998</v>
      </c>
      <c r="F345">
        <v>60.996000000000002</v>
      </c>
      <c r="G345">
        <v>61.100999999999999</v>
      </c>
      <c r="H345">
        <v>61.238</v>
      </c>
      <c r="I345">
        <v>61.393000000000001</v>
      </c>
      <c r="J345">
        <v>61.527000000000001</v>
      </c>
      <c r="K345">
        <v>61.331000000000003</v>
      </c>
      <c r="L345">
        <v>61.93</v>
      </c>
      <c r="M345">
        <v>62.109000000000002</v>
      </c>
      <c r="N345" t="s">
        <v>432</v>
      </c>
    </row>
    <row r="346" spans="1:14" x14ac:dyDescent="0.25">
      <c r="A346" t="s">
        <v>27</v>
      </c>
      <c r="B346" s="1" t="s">
        <v>53</v>
      </c>
      <c r="C346" t="s">
        <v>299</v>
      </c>
      <c r="D346" s="1" t="s">
        <v>87</v>
      </c>
      <c r="E346">
        <v>46.495853420000003</v>
      </c>
      <c r="F346">
        <v>47.1232872</v>
      </c>
      <c r="G346">
        <v>49.630855560000001</v>
      </c>
      <c r="H346">
        <v>51.165462490000003</v>
      </c>
      <c r="I346">
        <v>53.611072540000002</v>
      </c>
      <c r="J346">
        <v>59.079414370000002</v>
      </c>
      <c r="K346">
        <v>69.188018799999995</v>
      </c>
      <c r="L346">
        <v>87.342300420000001</v>
      </c>
      <c r="M346">
        <v>83.960189819999997</v>
      </c>
      <c r="N346" t="s">
        <v>432</v>
      </c>
    </row>
    <row r="347" spans="1:14" x14ac:dyDescent="0.25">
      <c r="A347" t="s">
        <v>27</v>
      </c>
      <c r="B347" s="1" t="s">
        <v>53</v>
      </c>
      <c r="C347" t="s">
        <v>289</v>
      </c>
      <c r="D347" s="1" t="s">
        <v>185</v>
      </c>
      <c r="E347">
        <v>67.373999999999995</v>
      </c>
      <c r="F347">
        <v>68.444000000000003</v>
      </c>
      <c r="G347">
        <v>68.739999999999995</v>
      </c>
      <c r="H347">
        <v>69.036000000000001</v>
      </c>
      <c r="I347">
        <v>69.299000000000007</v>
      </c>
      <c r="J347">
        <v>69.105999999999995</v>
      </c>
      <c r="K347">
        <v>68.385000000000005</v>
      </c>
      <c r="L347">
        <v>70.087000000000003</v>
      </c>
      <c r="M347">
        <v>70.353999999999999</v>
      </c>
      <c r="N347" t="s">
        <v>432</v>
      </c>
    </row>
    <row r="348" spans="1:14" x14ac:dyDescent="0.25">
      <c r="A348" t="s">
        <v>10</v>
      </c>
      <c r="B348" s="1" t="s">
        <v>360</v>
      </c>
      <c r="C348" t="s">
        <v>299</v>
      </c>
      <c r="D348" s="1" t="s">
        <v>87</v>
      </c>
      <c r="E348">
        <v>4676.5620117199996</v>
      </c>
      <c r="F348">
        <v>4644.0209960900002</v>
      </c>
      <c r="G348">
        <v>4934.5751953099998</v>
      </c>
      <c r="H348">
        <v>5330.66015625</v>
      </c>
      <c r="I348">
        <v>5340.6127929699996</v>
      </c>
      <c r="J348">
        <v>5865.9052734400002</v>
      </c>
      <c r="K348">
        <v>6718.8896484400002</v>
      </c>
      <c r="L348">
        <v>5967.9042968800004</v>
      </c>
      <c r="M348">
        <v>6371.8559570300004</v>
      </c>
      <c r="N348">
        <v>6845.1420898400002</v>
      </c>
    </row>
    <row r="349" spans="1:14" x14ac:dyDescent="0.25">
      <c r="A349" t="s">
        <v>10</v>
      </c>
      <c r="B349" s="1" t="s">
        <v>360</v>
      </c>
      <c r="C349" t="s">
        <v>289</v>
      </c>
      <c r="D349" s="1" t="s">
        <v>185</v>
      </c>
      <c r="E349">
        <v>81.509756097560995</v>
      </c>
      <c r="F349">
        <v>81.560975609756099</v>
      </c>
      <c r="G349">
        <v>81.760975609756116</v>
      </c>
      <c r="H349">
        <v>81.812195121951234</v>
      </c>
      <c r="I349">
        <v>82.112195121951217</v>
      </c>
      <c r="J349">
        <v>81.358536585365854</v>
      </c>
      <c r="K349">
        <v>81.309756097560978</v>
      </c>
      <c r="L349">
        <v>81.614634146341473</v>
      </c>
      <c r="M349">
        <v>81.91463414634147</v>
      </c>
      <c r="N349" t="s">
        <v>432</v>
      </c>
    </row>
    <row r="350" spans="1:14" x14ac:dyDescent="0.25">
      <c r="A350" t="s">
        <v>535</v>
      </c>
      <c r="B350" s="1" t="s">
        <v>536</v>
      </c>
      <c r="C350" t="s">
        <v>299</v>
      </c>
      <c r="D350" s="1" t="s">
        <v>87</v>
      </c>
      <c r="E350" t="s">
        <v>432</v>
      </c>
      <c r="F350" t="s">
        <v>432</v>
      </c>
      <c r="G350" t="s">
        <v>432</v>
      </c>
      <c r="H350" t="s">
        <v>432</v>
      </c>
      <c r="I350" t="s">
        <v>432</v>
      </c>
      <c r="J350" t="s">
        <v>432</v>
      </c>
      <c r="K350" t="s">
        <v>432</v>
      </c>
      <c r="L350" t="s">
        <v>432</v>
      </c>
      <c r="M350" t="s">
        <v>432</v>
      </c>
      <c r="N350" t="s">
        <v>432</v>
      </c>
    </row>
    <row r="351" spans="1:14" x14ac:dyDescent="0.25">
      <c r="A351" t="s">
        <v>535</v>
      </c>
      <c r="B351" s="1" t="s">
        <v>536</v>
      </c>
      <c r="C351" t="s">
        <v>289</v>
      </c>
      <c r="D351" s="1" t="s">
        <v>185</v>
      </c>
      <c r="E351">
        <v>77.206000000000003</v>
      </c>
      <c r="F351">
        <v>77.358999999999995</v>
      </c>
      <c r="G351">
        <v>77.504000000000005</v>
      </c>
      <c r="H351">
        <v>77.557000000000002</v>
      </c>
      <c r="I351">
        <v>77.262</v>
      </c>
      <c r="J351">
        <v>77.049000000000007</v>
      </c>
      <c r="K351">
        <v>77.113</v>
      </c>
      <c r="L351">
        <v>77.697999999999993</v>
      </c>
      <c r="M351">
        <v>78.766000000000005</v>
      </c>
      <c r="N351" t="s">
        <v>432</v>
      </c>
    </row>
    <row r="352" spans="1:14" x14ac:dyDescent="0.25">
      <c r="A352" t="s">
        <v>95</v>
      </c>
      <c r="B352" s="1" t="s">
        <v>30</v>
      </c>
      <c r="C352" t="s">
        <v>299</v>
      </c>
      <c r="D352" s="1" t="s">
        <v>87</v>
      </c>
      <c r="E352">
        <v>3433.59643555</v>
      </c>
      <c r="F352">
        <v>3516.93481445</v>
      </c>
      <c r="G352">
        <v>3702.0998535200001</v>
      </c>
      <c r="H352">
        <v>3706.8027343799999</v>
      </c>
      <c r="I352">
        <v>3679.5969238299999</v>
      </c>
      <c r="J352">
        <v>3887.7126464799999</v>
      </c>
      <c r="K352">
        <v>4749.0419921900002</v>
      </c>
      <c r="L352">
        <v>5138.3378906300004</v>
      </c>
      <c r="M352">
        <v>4997.2431640599998</v>
      </c>
      <c r="N352">
        <v>5022.0327148400002</v>
      </c>
    </row>
    <row r="353" spans="1:14" x14ac:dyDescent="0.25">
      <c r="A353" t="s">
        <v>95</v>
      </c>
      <c r="B353" s="1" t="s">
        <v>30</v>
      </c>
      <c r="C353" t="s">
        <v>289</v>
      </c>
      <c r="D353" s="1" t="s">
        <v>185</v>
      </c>
      <c r="E353">
        <v>81.612439024390255</v>
      </c>
      <c r="F353">
        <v>81.658536585365866</v>
      </c>
      <c r="G353">
        <v>81.858536585365869</v>
      </c>
      <c r="H353">
        <v>81.707317073170742</v>
      </c>
      <c r="I353">
        <v>82.056097560975616</v>
      </c>
      <c r="J353">
        <v>82.256097560975618</v>
      </c>
      <c r="K353">
        <v>82.207317073170742</v>
      </c>
      <c r="L353">
        <v>81.958536585365849</v>
      </c>
      <c r="M353">
        <v>83.004878048780512</v>
      </c>
      <c r="N353" t="s">
        <v>432</v>
      </c>
    </row>
    <row r="354" spans="1:14" x14ac:dyDescent="0.25">
      <c r="A354" t="s">
        <v>288</v>
      </c>
      <c r="B354" s="1" t="s">
        <v>194</v>
      </c>
      <c r="C354" t="s">
        <v>299</v>
      </c>
      <c r="D354" s="1" t="s">
        <v>87</v>
      </c>
      <c r="E354">
        <v>165.18948363999999</v>
      </c>
      <c r="F354">
        <v>171.57482909999999</v>
      </c>
      <c r="G354">
        <v>181.75810242</v>
      </c>
      <c r="H354">
        <v>172.97604369999999</v>
      </c>
      <c r="I354">
        <v>166.49009705</v>
      </c>
      <c r="J354">
        <v>165.88038635000001</v>
      </c>
      <c r="K354">
        <v>204.21273804</v>
      </c>
      <c r="L354">
        <v>208.56825255999999</v>
      </c>
      <c r="M354">
        <v>216.55238342000001</v>
      </c>
      <c r="N354" t="s">
        <v>432</v>
      </c>
    </row>
    <row r="355" spans="1:14" x14ac:dyDescent="0.25">
      <c r="A355" t="s">
        <v>288</v>
      </c>
      <c r="B355" s="1" t="s">
        <v>194</v>
      </c>
      <c r="C355" t="s">
        <v>289</v>
      </c>
      <c r="D355" s="1" t="s">
        <v>185</v>
      </c>
      <c r="E355">
        <v>72.899000000000001</v>
      </c>
      <c r="F355">
        <v>73.180000000000007</v>
      </c>
      <c r="G355">
        <v>73.388999999999996</v>
      </c>
      <c r="H355">
        <v>73.879000000000005</v>
      </c>
      <c r="I355">
        <v>73.763999999999996</v>
      </c>
      <c r="J355">
        <v>70.766000000000005</v>
      </c>
      <c r="K355">
        <v>70.477999999999994</v>
      </c>
      <c r="L355">
        <v>74.462999999999994</v>
      </c>
      <c r="M355">
        <v>74.947000000000003</v>
      </c>
      <c r="N355" t="s">
        <v>432</v>
      </c>
    </row>
    <row r="356" spans="1:14" x14ac:dyDescent="0.25">
      <c r="A356" t="s">
        <v>378</v>
      </c>
      <c r="B356" s="1" t="s">
        <v>382</v>
      </c>
      <c r="C356" t="s">
        <v>299</v>
      </c>
      <c r="D356" s="1" t="s">
        <v>87</v>
      </c>
      <c r="E356">
        <v>25.96905327</v>
      </c>
      <c r="F356">
        <v>22.68474007</v>
      </c>
      <c r="G356">
        <v>29.096275330000001</v>
      </c>
      <c r="H356">
        <v>30.613645550000001</v>
      </c>
      <c r="I356">
        <v>31.894243240000002</v>
      </c>
      <c r="J356">
        <v>35.755371089999997</v>
      </c>
      <c r="K356">
        <v>35.394062040000001</v>
      </c>
      <c r="L356">
        <v>26.506816860000001</v>
      </c>
      <c r="M356">
        <v>26.013015750000001</v>
      </c>
      <c r="N356" t="s">
        <v>432</v>
      </c>
    </row>
    <row r="357" spans="1:14" x14ac:dyDescent="0.25">
      <c r="A357" t="s">
        <v>378</v>
      </c>
      <c r="B357" s="1" t="s">
        <v>382</v>
      </c>
      <c r="C357" t="s">
        <v>289</v>
      </c>
      <c r="D357" s="1" t="s">
        <v>185</v>
      </c>
      <c r="E357">
        <v>58.85</v>
      </c>
      <c r="F357">
        <v>59.228000000000002</v>
      </c>
      <c r="G357">
        <v>59.524000000000001</v>
      </c>
      <c r="H357">
        <v>59.765000000000001</v>
      </c>
      <c r="I357">
        <v>60.030999999999999</v>
      </c>
      <c r="J357">
        <v>59.89</v>
      </c>
      <c r="K357">
        <v>59.542000000000002</v>
      </c>
      <c r="L357">
        <v>60.398000000000003</v>
      </c>
      <c r="M357">
        <v>61.183</v>
      </c>
      <c r="N357" t="s">
        <v>432</v>
      </c>
    </row>
    <row r="358" spans="1:14" x14ac:dyDescent="0.25">
      <c r="A358" t="s">
        <v>117</v>
      </c>
      <c r="B358" s="1" t="s">
        <v>227</v>
      </c>
      <c r="C358" t="s">
        <v>299</v>
      </c>
      <c r="D358" s="1" t="s">
        <v>87</v>
      </c>
      <c r="E358">
        <v>92.912071229999995</v>
      </c>
      <c r="F358">
        <v>75.523284910000001</v>
      </c>
      <c r="G358">
        <v>70.318145749999999</v>
      </c>
      <c r="H358">
        <v>63.602447509999998</v>
      </c>
      <c r="I358">
        <v>67.625442500000005</v>
      </c>
      <c r="J358">
        <v>67.913848880000003</v>
      </c>
      <c r="K358">
        <v>81.873222350000006</v>
      </c>
      <c r="L358">
        <v>89.629585270000007</v>
      </c>
      <c r="M358">
        <v>66.820091250000004</v>
      </c>
      <c r="N358" t="s">
        <v>432</v>
      </c>
    </row>
    <row r="359" spans="1:14" x14ac:dyDescent="0.25">
      <c r="A359" t="s">
        <v>117</v>
      </c>
      <c r="B359" s="1" t="s">
        <v>227</v>
      </c>
      <c r="C359" t="s">
        <v>289</v>
      </c>
      <c r="D359" s="1" t="s">
        <v>185</v>
      </c>
      <c r="E359">
        <v>51.939</v>
      </c>
      <c r="F359">
        <v>52.189</v>
      </c>
      <c r="G359">
        <v>52.396999999999998</v>
      </c>
      <c r="H359">
        <v>52.668999999999997</v>
      </c>
      <c r="I359">
        <v>53.009</v>
      </c>
      <c r="J359">
        <v>53.072000000000003</v>
      </c>
      <c r="K359">
        <v>53.454999999999998</v>
      </c>
      <c r="L359">
        <v>54.079000000000001</v>
      </c>
      <c r="M359">
        <v>54.462000000000003</v>
      </c>
      <c r="N359" t="s">
        <v>432</v>
      </c>
    </row>
    <row r="360" spans="1:14" x14ac:dyDescent="0.25">
      <c r="A360" t="s">
        <v>537</v>
      </c>
      <c r="B360" s="1" t="s">
        <v>538</v>
      </c>
      <c r="C360" t="s">
        <v>299</v>
      </c>
      <c r="D360" s="1" t="s">
        <v>87</v>
      </c>
      <c r="E360">
        <v>8747.3252688557932</v>
      </c>
      <c r="F360">
        <v>9045.8822094992647</v>
      </c>
      <c r="G360">
        <v>9326.7061287434972</v>
      </c>
      <c r="H360">
        <v>9660.5379373617561</v>
      </c>
      <c r="I360">
        <v>9992.7274196831604</v>
      </c>
      <c r="J360">
        <v>11030.920990996874</v>
      </c>
      <c r="K360">
        <v>11505.080378051829</v>
      </c>
      <c r="L360">
        <v>11924.948279551605</v>
      </c>
      <c r="M360">
        <v>12698.245308024052</v>
      </c>
      <c r="N360" t="s">
        <v>432</v>
      </c>
    </row>
    <row r="361" spans="1:14" x14ac:dyDescent="0.25">
      <c r="A361" t="s">
        <v>537</v>
      </c>
      <c r="B361" s="1" t="s">
        <v>538</v>
      </c>
      <c r="C361" t="s">
        <v>289</v>
      </c>
      <c r="D361" s="1" t="s">
        <v>185</v>
      </c>
      <c r="E361">
        <v>79.003625465454249</v>
      </c>
      <c r="F361">
        <v>78.880010384506363</v>
      </c>
      <c r="G361">
        <v>78.868803624668473</v>
      </c>
      <c r="H361">
        <v>78.960796072839784</v>
      </c>
      <c r="I361">
        <v>79.133413441914129</v>
      </c>
      <c r="J361">
        <v>77.449809979524076</v>
      </c>
      <c r="K361">
        <v>76.865767889054851</v>
      </c>
      <c r="L361">
        <v>77.832767959423933</v>
      </c>
      <c r="M361">
        <v>78.732821373219096</v>
      </c>
      <c r="N361" t="s">
        <v>432</v>
      </c>
    </row>
    <row r="362" spans="1:14" x14ac:dyDescent="0.25">
      <c r="A362" t="s">
        <v>177</v>
      </c>
      <c r="B362" s="1" t="s">
        <v>123</v>
      </c>
      <c r="C362" t="s">
        <v>299</v>
      </c>
      <c r="D362" s="1" t="s">
        <v>87</v>
      </c>
      <c r="E362">
        <v>322.25213623000002</v>
      </c>
      <c r="F362">
        <v>347.44271851000002</v>
      </c>
      <c r="G362">
        <v>375.33038329999999</v>
      </c>
      <c r="H362">
        <v>426.57290648999998</v>
      </c>
      <c r="I362">
        <v>469.47344971000001</v>
      </c>
      <c r="J362">
        <v>510.81011962999997</v>
      </c>
      <c r="K362">
        <v>636.65447998000002</v>
      </c>
      <c r="L362">
        <v>561.69281006000006</v>
      </c>
      <c r="M362">
        <v>639.41693114999998</v>
      </c>
      <c r="N362" t="s">
        <v>432</v>
      </c>
    </row>
    <row r="363" spans="1:14" x14ac:dyDescent="0.25">
      <c r="A363" t="s">
        <v>177</v>
      </c>
      <c r="B363" s="1" t="s">
        <v>123</v>
      </c>
      <c r="C363" t="s">
        <v>289</v>
      </c>
      <c r="D363" s="1" t="s">
        <v>185</v>
      </c>
      <c r="E363">
        <v>75.402439024390247</v>
      </c>
      <c r="F363">
        <v>75.400000000000006</v>
      </c>
      <c r="G363">
        <v>75.953658536585365</v>
      </c>
      <c r="H363">
        <v>76.648780487804885</v>
      </c>
      <c r="I363">
        <v>76.60243902439025</v>
      </c>
      <c r="J363">
        <v>74.395121951219508</v>
      </c>
      <c r="K363">
        <v>73.246341463414637</v>
      </c>
      <c r="L363">
        <v>74.424878048780499</v>
      </c>
      <c r="M363">
        <v>75.316097560975621</v>
      </c>
      <c r="N363" t="s">
        <v>432</v>
      </c>
    </row>
    <row r="364" spans="1:14" x14ac:dyDescent="0.25">
      <c r="A364" t="s">
        <v>539</v>
      </c>
      <c r="B364" s="1" t="s">
        <v>540</v>
      </c>
      <c r="C364" t="s">
        <v>299</v>
      </c>
      <c r="D364" s="1" t="s">
        <v>87</v>
      </c>
      <c r="E364" t="s">
        <v>432</v>
      </c>
      <c r="F364" t="s">
        <v>432</v>
      </c>
      <c r="G364" t="s">
        <v>432</v>
      </c>
      <c r="H364" t="s">
        <v>432</v>
      </c>
      <c r="I364" t="s">
        <v>432</v>
      </c>
      <c r="J364" t="s">
        <v>432</v>
      </c>
      <c r="K364" t="s">
        <v>432</v>
      </c>
      <c r="L364" t="s">
        <v>432</v>
      </c>
      <c r="M364" t="s">
        <v>432</v>
      </c>
      <c r="N364" t="s">
        <v>432</v>
      </c>
    </row>
    <row r="365" spans="1:14" x14ac:dyDescent="0.25">
      <c r="A365" t="s">
        <v>539</v>
      </c>
      <c r="B365" s="1" t="s">
        <v>540</v>
      </c>
      <c r="C365" t="s">
        <v>289</v>
      </c>
      <c r="D365" s="1" t="s">
        <v>185</v>
      </c>
      <c r="E365">
        <v>77.36</v>
      </c>
      <c r="F365">
        <v>77.391999999999996</v>
      </c>
      <c r="G365">
        <v>77.47</v>
      </c>
      <c r="H365">
        <v>77.510000000000005</v>
      </c>
      <c r="I365">
        <v>77.843999999999994</v>
      </c>
      <c r="J365">
        <v>78.03</v>
      </c>
      <c r="K365">
        <v>78.16</v>
      </c>
      <c r="L365">
        <v>78.531000000000006</v>
      </c>
      <c r="M365">
        <v>78.808000000000007</v>
      </c>
      <c r="N365" t="s">
        <v>432</v>
      </c>
    </row>
    <row r="366" spans="1:14" x14ac:dyDescent="0.25">
      <c r="A366" t="s">
        <v>190</v>
      </c>
      <c r="B366" s="1" t="s">
        <v>89</v>
      </c>
      <c r="C366" t="s">
        <v>299</v>
      </c>
      <c r="D366" s="1" t="s">
        <v>87</v>
      </c>
      <c r="E366">
        <v>7566.5615234400002</v>
      </c>
      <c r="F366">
        <v>7492.0766601599998</v>
      </c>
      <c r="G366">
        <v>7815.7871093800004</v>
      </c>
      <c r="H366">
        <v>8271.859375</v>
      </c>
      <c r="I366">
        <v>8007.35546875</v>
      </c>
      <c r="J366">
        <v>7824.5771484400002</v>
      </c>
      <c r="K366">
        <v>9163.1386718800004</v>
      </c>
      <c r="L366">
        <v>8692.5761718800004</v>
      </c>
      <c r="M366">
        <v>8296.35546875</v>
      </c>
      <c r="N366" t="s">
        <v>432</v>
      </c>
    </row>
    <row r="367" spans="1:14" x14ac:dyDescent="0.25">
      <c r="A367" t="s">
        <v>190</v>
      </c>
      <c r="B367" s="1" t="s">
        <v>89</v>
      </c>
      <c r="C367" t="s">
        <v>289</v>
      </c>
      <c r="D367" s="1" t="s">
        <v>185</v>
      </c>
      <c r="E367">
        <v>82.304878048780509</v>
      </c>
      <c r="F367">
        <v>82.407317073170745</v>
      </c>
      <c r="G367">
        <v>82.609756097560975</v>
      </c>
      <c r="H367">
        <v>82.75853658536586</v>
      </c>
      <c r="I367">
        <v>82.958536585365863</v>
      </c>
      <c r="J367">
        <v>83.20975609756097</v>
      </c>
      <c r="K367">
        <v>83.163414634146349</v>
      </c>
      <c r="L367">
        <v>82.509756097560981</v>
      </c>
      <c r="M367">
        <v>83.112195121951231</v>
      </c>
      <c r="N367" t="s">
        <v>432</v>
      </c>
    </row>
    <row r="368" spans="1:14" x14ac:dyDescent="0.25">
      <c r="A368" t="s">
        <v>541</v>
      </c>
      <c r="B368" s="1" t="s">
        <v>542</v>
      </c>
      <c r="C368" t="s">
        <v>299</v>
      </c>
      <c r="D368" s="1" t="s">
        <v>87</v>
      </c>
      <c r="E368" t="s">
        <v>432</v>
      </c>
      <c r="F368" t="s">
        <v>432</v>
      </c>
      <c r="G368" t="s">
        <v>432</v>
      </c>
      <c r="H368" t="s">
        <v>432</v>
      </c>
      <c r="I368" t="s">
        <v>432</v>
      </c>
      <c r="J368" t="s">
        <v>432</v>
      </c>
      <c r="K368" t="s">
        <v>432</v>
      </c>
      <c r="L368" t="s">
        <v>432</v>
      </c>
      <c r="M368" t="s">
        <v>432</v>
      </c>
      <c r="N368" t="s">
        <v>432</v>
      </c>
    </row>
    <row r="369" spans="1:14" x14ac:dyDescent="0.25">
      <c r="A369" t="s">
        <v>541</v>
      </c>
      <c r="B369" s="1" t="s">
        <v>542</v>
      </c>
      <c r="C369" t="s">
        <v>289</v>
      </c>
      <c r="D369" s="1" t="s">
        <v>185</v>
      </c>
      <c r="E369" t="s">
        <v>432</v>
      </c>
      <c r="F369" t="s">
        <v>432</v>
      </c>
      <c r="G369" t="s">
        <v>432</v>
      </c>
      <c r="H369" t="s">
        <v>432</v>
      </c>
      <c r="I369" t="s">
        <v>432</v>
      </c>
      <c r="J369" t="s">
        <v>432</v>
      </c>
      <c r="K369" t="s">
        <v>432</v>
      </c>
      <c r="L369" t="s">
        <v>432</v>
      </c>
      <c r="M369" t="s">
        <v>432</v>
      </c>
      <c r="N369" t="s">
        <v>432</v>
      </c>
    </row>
    <row r="370" spans="1:14" x14ac:dyDescent="0.25">
      <c r="A370" t="s">
        <v>543</v>
      </c>
      <c r="B370" s="1" t="s">
        <v>544</v>
      </c>
      <c r="C370" t="s">
        <v>299</v>
      </c>
      <c r="D370" s="1" t="s">
        <v>87</v>
      </c>
      <c r="E370">
        <v>4326.5178555198172</v>
      </c>
      <c r="F370">
        <v>4448.9386684917954</v>
      </c>
      <c r="G370">
        <v>4593.8638192467915</v>
      </c>
      <c r="H370">
        <v>4804.5163211108493</v>
      </c>
      <c r="I370">
        <v>4885.8442082177071</v>
      </c>
      <c r="J370">
        <v>5299.9261830227751</v>
      </c>
      <c r="K370">
        <v>5716.2579628239409</v>
      </c>
      <c r="L370">
        <v>5630.2099114751936</v>
      </c>
      <c r="M370">
        <v>5915.8405384154612</v>
      </c>
      <c r="N370" t="s">
        <v>432</v>
      </c>
    </row>
    <row r="371" spans="1:14" x14ac:dyDescent="0.25">
      <c r="A371" t="s">
        <v>543</v>
      </c>
      <c r="B371" s="1" t="s">
        <v>544</v>
      </c>
      <c r="C371" t="s">
        <v>289</v>
      </c>
      <c r="D371" s="1" t="s">
        <v>185</v>
      </c>
      <c r="E371">
        <v>79.761947694534015</v>
      </c>
      <c r="F371">
        <v>79.891422691891336</v>
      </c>
      <c r="G371">
        <v>79.931058371801001</v>
      </c>
      <c r="H371">
        <v>80.028171111668641</v>
      </c>
      <c r="I371">
        <v>80.24506590606785</v>
      </c>
      <c r="J371">
        <v>78.958005085165041</v>
      </c>
      <c r="K371">
        <v>78.588551330311944</v>
      </c>
      <c r="L371">
        <v>79.521254578424717</v>
      </c>
      <c r="M371">
        <v>80.161435259185097</v>
      </c>
      <c r="N371" t="s">
        <v>432</v>
      </c>
    </row>
    <row r="372" spans="1:14" x14ac:dyDescent="0.25">
      <c r="A372" t="s">
        <v>232</v>
      </c>
      <c r="B372" s="1" t="s">
        <v>318</v>
      </c>
      <c r="C372" t="s">
        <v>299</v>
      </c>
      <c r="D372" s="1" t="s">
        <v>87</v>
      </c>
      <c r="E372">
        <v>767.04455566000001</v>
      </c>
      <c r="F372">
        <v>714.48864746000004</v>
      </c>
      <c r="G372">
        <v>704.62951659999999</v>
      </c>
      <c r="H372">
        <v>639.78082274999997</v>
      </c>
      <c r="I372">
        <v>730.08325194999998</v>
      </c>
      <c r="J372">
        <v>859.24987793000003</v>
      </c>
      <c r="K372">
        <v>843.01953125</v>
      </c>
      <c r="L372">
        <v>712.06097411999997</v>
      </c>
      <c r="M372">
        <v>732.04089354999996</v>
      </c>
      <c r="N372" t="s">
        <v>432</v>
      </c>
    </row>
    <row r="373" spans="1:14" x14ac:dyDescent="0.25">
      <c r="A373" t="s">
        <v>232</v>
      </c>
      <c r="B373" s="1" t="s">
        <v>318</v>
      </c>
      <c r="C373" t="s">
        <v>289</v>
      </c>
      <c r="D373" s="1" t="s">
        <v>185</v>
      </c>
      <c r="E373">
        <v>79.346000000000004</v>
      </c>
      <c r="F373">
        <v>79.581000000000003</v>
      </c>
      <c r="G373">
        <v>79.748000000000005</v>
      </c>
      <c r="H373">
        <v>79.864000000000004</v>
      </c>
      <c r="I373">
        <v>79.945999999999998</v>
      </c>
      <c r="J373">
        <v>77.763000000000005</v>
      </c>
      <c r="K373">
        <v>75.968999999999994</v>
      </c>
      <c r="L373">
        <v>77.911000000000001</v>
      </c>
      <c r="M373">
        <v>80.031000000000006</v>
      </c>
      <c r="N373" t="s">
        <v>432</v>
      </c>
    </row>
    <row r="374" spans="1:14" x14ac:dyDescent="0.25">
      <c r="A374" t="s">
        <v>545</v>
      </c>
      <c r="B374" s="1" t="s">
        <v>546</v>
      </c>
      <c r="C374" t="s">
        <v>299</v>
      </c>
      <c r="D374" s="1" t="s">
        <v>87</v>
      </c>
      <c r="E374">
        <v>717.47568606245954</v>
      </c>
      <c r="F374">
        <v>761.48651333851228</v>
      </c>
      <c r="G374">
        <v>833.96854390800092</v>
      </c>
      <c r="H374">
        <v>915.68436893056321</v>
      </c>
      <c r="I374">
        <v>930.96086390085725</v>
      </c>
      <c r="J374">
        <v>989.0410564119029</v>
      </c>
      <c r="K374">
        <v>1150.9753856795858</v>
      </c>
      <c r="L374">
        <v>1117.9395687704232</v>
      </c>
      <c r="M374">
        <v>1203.8822553639543</v>
      </c>
      <c r="N374" t="s">
        <v>432</v>
      </c>
    </row>
    <row r="375" spans="1:14" x14ac:dyDescent="0.25">
      <c r="A375" t="s">
        <v>545</v>
      </c>
      <c r="B375" s="1" t="s">
        <v>546</v>
      </c>
      <c r="C375" t="s">
        <v>289</v>
      </c>
      <c r="D375" s="1" t="s">
        <v>185</v>
      </c>
      <c r="E375">
        <v>71.479583057454334</v>
      </c>
      <c r="F375">
        <v>71.774569054275432</v>
      </c>
      <c r="G375">
        <v>72.123765815004774</v>
      </c>
      <c r="H375">
        <v>72.421785042379213</v>
      </c>
      <c r="I375">
        <v>72.657011642487703</v>
      </c>
      <c r="J375">
        <v>72.509709778942707</v>
      </c>
      <c r="K375">
        <v>71.769971930141566</v>
      </c>
      <c r="L375">
        <v>72.904924866126194</v>
      </c>
      <c r="M375">
        <v>73.559421477689654</v>
      </c>
      <c r="N375" t="s">
        <v>432</v>
      </c>
    </row>
    <row r="376" spans="1:14" x14ac:dyDescent="0.25">
      <c r="A376" t="s">
        <v>547</v>
      </c>
      <c r="B376" s="1" t="s">
        <v>548</v>
      </c>
      <c r="C376" t="s">
        <v>299</v>
      </c>
      <c r="D376" s="1" t="s">
        <v>87</v>
      </c>
      <c r="E376">
        <v>177.99510842398453</v>
      </c>
      <c r="F376">
        <v>185.42616481096917</v>
      </c>
      <c r="G376">
        <v>189.67244699470839</v>
      </c>
      <c r="H376">
        <v>217.72644323122216</v>
      </c>
      <c r="I376">
        <v>226.26402925515561</v>
      </c>
      <c r="J376">
        <v>227.8203535980175</v>
      </c>
      <c r="K376">
        <v>265.2632330020781</v>
      </c>
      <c r="L376">
        <v>228.22615986735769</v>
      </c>
      <c r="M376">
        <v>234.29833683072863</v>
      </c>
      <c r="N376" t="s">
        <v>432</v>
      </c>
    </row>
    <row r="377" spans="1:14" x14ac:dyDescent="0.25">
      <c r="A377" t="s">
        <v>547</v>
      </c>
      <c r="B377" s="1" t="s">
        <v>548</v>
      </c>
      <c r="C377" t="s">
        <v>289</v>
      </c>
      <c r="D377" s="1" t="s">
        <v>185</v>
      </c>
      <c r="E377">
        <v>68.116609603313819</v>
      </c>
      <c r="F377">
        <v>68.285650856366587</v>
      </c>
      <c r="G377">
        <v>68.519287500512945</v>
      </c>
      <c r="H377">
        <v>68.58258878902474</v>
      </c>
      <c r="I377">
        <v>68.64215783039846</v>
      </c>
      <c r="J377">
        <v>68.356810879275912</v>
      </c>
      <c r="K377">
        <v>67.481020924070251</v>
      </c>
      <c r="L377">
        <v>69.100434899356145</v>
      </c>
      <c r="M377">
        <v>69.274594903585566</v>
      </c>
      <c r="N377" t="s">
        <v>432</v>
      </c>
    </row>
    <row r="378" spans="1:14" x14ac:dyDescent="0.25">
      <c r="A378" t="s">
        <v>403</v>
      </c>
      <c r="B378" s="1" t="s">
        <v>290</v>
      </c>
      <c r="C378" t="s">
        <v>299</v>
      </c>
      <c r="D378" s="1" t="s">
        <v>87</v>
      </c>
      <c r="E378">
        <v>33.993598939999998</v>
      </c>
      <c r="F378">
        <v>36.469341280000002</v>
      </c>
      <c r="G378">
        <v>42.07228851</v>
      </c>
      <c r="H378">
        <v>40.095783230000002</v>
      </c>
      <c r="I378">
        <v>36.01374817</v>
      </c>
      <c r="J378">
        <v>36.909130099999999</v>
      </c>
      <c r="K378">
        <v>42.796398160000003</v>
      </c>
      <c r="L378">
        <v>38.766021729999999</v>
      </c>
      <c r="M378">
        <v>30.48608398</v>
      </c>
      <c r="N378" t="s">
        <v>432</v>
      </c>
    </row>
    <row r="379" spans="1:14" x14ac:dyDescent="0.25">
      <c r="A379" t="s">
        <v>403</v>
      </c>
      <c r="B379" s="1" t="s">
        <v>290</v>
      </c>
      <c r="C379" t="s">
        <v>289</v>
      </c>
      <c r="D379" s="1" t="s">
        <v>185</v>
      </c>
      <c r="E379">
        <v>65.641000000000005</v>
      </c>
      <c r="F379">
        <v>65.942999999999998</v>
      </c>
      <c r="G379">
        <v>66.222999999999999</v>
      </c>
      <c r="H379">
        <v>66.480999999999995</v>
      </c>
      <c r="I379">
        <v>66.728999999999999</v>
      </c>
      <c r="J379">
        <v>65.700999999999993</v>
      </c>
      <c r="K379">
        <v>65.772999999999996</v>
      </c>
      <c r="L379">
        <v>67.417000000000002</v>
      </c>
      <c r="M379">
        <v>67.649000000000001</v>
      </c>
      <c r="N379" t="s">
        <v>432</v>
      </c>
    </row>
    <row r="380" spans="1:14" x14ac:dyDescent="0.25">
      <c r="A380" t="s">
        <v>240</v>
      </c>
      <c r="B380" s="1" t="s">
        <v>182</v>
      </c>
      <c r="C380" t="s">
        <v>299</v>
      </c>
      <c r="D380" s="1" t="s">
        <v>87</v>
      </c>
      <c r="E380">
        <v>1554.9118652300001</v>
      </c>
      <c r="F380">
        <v>1704.62316895</v>
      </c>
      <c r="G380">
        <v>1775.32849121</v>
      </c>
      <c r="H380">
        <v>1809.2207031299999</v>
      </c>
      <c r="I380">
        <v>1928.91564941</v>
      </c>
      <c r="J380">
        <v>1938.3383789100001</v>
      </c>
      <c r="K380">
        <v>1931.31152344</v>
      </c>
      <c r="L380">
        <v>2077.734375</v>
      </c>
      <c r="M380">
        <v>1683.8458252</v>
      </c>
      <c r="N380" t="s">
        <v>432</v>
      </c>
    </row>
    <row r="381" spans="1:14" x14ac:dyDescent="0.25">
      <c r="A381" t="s">
        <v>240</v>
      </c>
      <c r="B381" s="1" t="s">
        <v>182</v>
      </c>
      <c r="C381" t="s">
        <v>289</v>
      </c>
      <c r="D381" s="1" t="s">
        <v>185</v>
      </c>
      <c r="E381">
        <v>69.069999999999993</v>
      </c>
      <c r="F381">
        <v>69.046000000000006</v>
      </c>
      <c r="G381">
        <v>69.019000000000005</v>
      </c>
      <c r="H381">
        <v>68.989000000000004</v>
      </c>
      <c r="I381">
        <v>68.981999999999999</v>
      </c>
      <c r="J381">
        <v>68.688999999999993</v>
      </c>
      <c r="K381">
        <v>68.563000000000002</v>
      </c>
      <c r="L381">
        <v>68.921999999999997</v>
      </c>
      <c r="M381">
        <v>69.269000000000005</v>
      </c>
      <c r="N381" t="s">
        <v>432</v>
      </c>
    </row>
    <row r="382" spans="1:14" x14ac:dyDescent="0.25">
      <c r="A382" t="s">
        <v>97</v>
      </c>
      <c r="B382" s="1" t="s">
        <v>127</v>
      </c>
      <c r="C382" t="s">
        <v>299</v>
      </c>
      <c r="D382" s="1" t="s">
        <v>87</v>
      </c>
      <c r="E382">
        <v>982.06530762</v>
      </c>
      <c r="F382">
        <v>1056.68481445</v>
      </c>
      <c r="G382">
        <v>1126.96154785</v>
      </c>
      <c r="H382">
        <v>1227.3055419899999</v>
      </c>
      <c r="I382">
        <v>1339.45153809</v>
      </c>
      <c r="J382">
        <v>1358.4498291</v>
      </c>
      <c r="K382">
        <v>1417.1541748</v>
      </c>
      <c r="L382">
        <v>1572.9301757799999</v>
      </c>
      <c r="M382">
        <v>1557.81286621</v>
      </c>
      <c r="N382" t="s">
        <v>432</v>
      </c>
    </row>
    <row r="383" spans="1:14" x14ac:dyDescent="0.25">
      <c r="A383" t="s">
        <v>97</v>
      </c>
      <c r="B383" s="1" t="s">
        <v>127</v>
      </c>
      <c r="C383" t="s">
        <v>289</v>
      </c>
      <c r="D383" s="1" t="s">
        <v>185</v>
      </c>
      <c r="E383">
        <v>77.582999999999998</v>
      </c>
      <c r="F383">
        <v>77.772000000000006</v>
      </c>
      <c r="G383">
        <v>77.900999999999996</v>
      </c>
      <c r="H383">
        <v>78.266000000000005</v>
      </c>
      <c r="I383">
        <v>78.513999999999996</v>
      </c>
      <c r="J383">
        <v>76.33</v>
      </c>
      <c r="K383">
        <v>77.004000000000005</v>
      </c>
      <c r="L383">
        <v>79.323999999999998</v>
      </c>
      <c r="M383">
        <v>79.593999999999994</v>
      </c>
      <c r="N383" t="s">
        <v>432</v>
      </c>
    </row>
    <row r="384" spans="1:14" x14ac:dyDescent="0.25">
      <c r="A384" t="s">
        <v>346</v>
      </c>
      <c r="B384" s="1" t="s">
        <v>350</v>
      </c>
      <c r="C384" t="s">
        <v>299</v>
      </c>
      <c r="D384" s="1" t="s">
        <v>87</v>
      </c>
      <c r="E384">
        <v>45.189952849999997</v>
      </c>
      <c r="F384">
        <v>53.986465449999997</v>
      </c>
      <c r="G384">
        <v>55.247238160000002</v>
      </c>
      <c r="H384">
        <v>59.040035250000003</v>
      </c>
      <c r="I384">
        <v>59.895668030000003</v>
      </c>
      <c r="J384">
        <v>55.928176880000002</v>
      </c>
      <c r="K384">
        <v>61.025299070000003</v>
      </c>
      <c r="L384">
        <v>81.113563540000001</v>
      </c>
      <c r="M384">
        <v>85.150215149999994</v>
      </c>
      <c r="N384" t="s">
        <v>432</v>
      </c>
    </row>
    <row r="385" spans="1:14" x14ac:dyDescent="0.25">
      <c r="A385" t="s">
        <v>346</v>
      </c>
      <c r="B385" s="1" t="s">
        <v>350</v>
      </c>
      <c r="C385" t="s">
        <v>289</v>
      </c>
      <c r="D385" s="1" t="s">
        <v>185</v>
      </c>
      <c r="E385">
        <v>64.472999999999999</v>
      </c>
      <c r="F385">
        <v>64.7</v>
      </c>
      <c r="G385">
        <v>64.923000000000002</v>
      </c>
      <c r="H385">
        <v>65.114000000000004</v>
      </c>
      <c r="I385">
        <v>65.331000000000003</v>
      </c>
      <c r="J385">
        <v>65.075000000000003</v>
      </c>
      <c r="K385">
        <v>64.358000000000004</v>
      </c>
      <c r="L385">
        <v>65.274000000000001</v>
      </c>
      <c r="M385">
        <v>66.134</v>
      </c>
      <c r="N385" t="s">
        <v>432</v>
      </c>
    </row>
    <row r="386" spans="1:14" x14ac:dyDescent="0.25">
      <c r="A386" t="s">
        <v>113</v>
      </c>
      <c r="B386" s="1" t="s">
        <v>351</v>
      </c>
      <c r="C386" t="s">
        <v>299</v>
      </c>
      <c r="D386" s="1" t="s">
        <v>87</v>
      </c>
      <c r="E386">
        <v>393.42440796</v>
      </c>
      <c r="F386">
        <v>385.52297973999998</v>
      </c>
      <c r="G386">
        <v>406.60488892000001</v>
      </c>
      <c r="H386">
        <v>422.13101196000002</v>
      </c>
      <c r="I386">
        <v>416.84432982999999</v>
      </c>
      <c r="J386">
        <v>411.81765746999997</v>
      </c>
      <c r="K386">
        <v>480.11322021000001</v>
      </c>
      <c r="L386">
        <v>480.02862549000002</v>
      </c>
      <c r="M386">
        <v>526.50988770000004</v>
      </c>
      <c r="N386" t="s">
        <v>432</v>
      </c>
    </row>
    <row r="387" spans="1:14" x14ac:dyDescent="0.25">
      <c r="A387" t="s">
        <v>113</v>
      </c>
      <c r="B387" s="1" t="s">
        <v>351</v>
      </c>
      <c r="C387" t="s">
        <v>289</v>
      </c>
      <c r="D387" s="1" t="s">
        <v>185</v>
      </c>
      <c r="E387">
        <v>73.453999999999994</v>
      </c>
      <c r="F387">
        <v>73.486999999999995</v>
      </c>
      <c r="G387">
        <v>73.45</v>
      </c>
      <c r="H387">
        <v>73.626999999999995</v>
      </c>
      <c r="I387">
        <v>73.668000000000006</v>
      </c>
      <c r="J387">
        <v>72.72</v>
      </c>
      <c r="K387">
        <v>68.108000000000004</v>
      </c>
      <c r="L387">
        <v>72.319000000000003</v>
      </c>
      <c r="M387">
        <v>73.843999999999994</v>
      </c>
      <c r="N387" t="s">
        <v>432</v>
      </c>
    </row>
    <row r="388" spans="1:14" x14ac:dyDescent="0.25">
      <c r="A388" t="s">
        <v>51</v>
      </c>
      <c r="B388" s="1" t="s">
        <v>73</v>
      </c>
      <c r="C388" t="s">
        <v>299</v>
      </c>
      <c r="D388" s="1" t="s">
        <v>87</v>
      </c>
      <c r="E388">
        <v>310.60983276000002</v>
      </c>
      <c r="F388">
        <v>311.33517455999998</v>
      </c>
      <c r="G388">
        <v>332.54321289000001</v>
      </c>
      <c r="H388">
        <v>362.75994873000002</v>
      </c>
      <c r="I388">
        <v>367.98739624000001</v>
      </c>
      <c r="J388">
        <v>399.13800049000002</v>
      </c>
      <c r="K388">
        <v>455.35607909999999</v>
      </c>
      <c r="L388">
        <v>445.10473632999998</v>
      </c>
      <c r="M388">
        <v>445.52667236000002</v>
      </c>
      <c r="N388" t="s">
        <v>432</v>
      </c>
    </row>
    <row r="389" spans="1:14" x14ac:dyDescent="0.25">
      <c r="A389" t="s">
        <v>51</v>
      </c>
      <c r="B389" s="1" t="s">
        <v>73</v>
      </c>
      <c r="C389" t="s">
        <v>289</v>
      </c>
      <c r="D389" s="1" t="s">
        <v>185</v>
      </c>
      <c r="E389">
        <v>75.731999999999999</v>
      </c>
      <c r="F389">
        <v>75.950999999999993</v>
      </c>
      <c r="G389">
        <v>75.957999999999998</v>
      </c>
      <c r="H389">
        <v>76.018000000000001</v>
      </c>
      <c r="I389">
        <v>76.275000000000006</v>
      </c>
      <c r="J389">
        <v>73.831999999999994</v>
      </c>
      <c r="K389">
        <v>71.596000000000004</v>
      </c>
      <c r="L389">
        <v>76.834000000000003</v>
      </c>
      <c r="M389">
        <v>77.739999999999995</v>
      </c>
      <c r="N389" t="s">
        <v>432</v>
      </c>
    </row>
    <row r="390" spans="1:14" x14ac:dyDescent="0.25">
      <c r="A390" t="s">
        <v>293</v>
      </c>
      <c r="B390" s="1" t="s">
        <v>210</v>
      </c>
      <c r="C390" t="s">
        <v>299</v>
      </c>
      <c r="D390" s="1" t="s">
        <v>87</v>
      </c>
      <c r="E390">
        <v>113.43428040000001</v>
      </c>
      <c r="F390">
        <v>118.05981445</v>
      </c>
      <c r="G390">
        <v>120.32259369000001</v>
      </c>
      <c r="H390">
        <v>125.27716827</v>
      </c>
      <c r="I390">
        <v>141.6925354</v>
      </c>
      <c r="J390">
        <v>166.61218262</v>
      </c>
      <c r="K390">
        <v>208.19227599999999</v>
      </c>
      <c r="L390">
        <v>182.93432616999999</v>
      </c>
      <c r="M390">
        <v>194.05484009</v>
      </c>
      <c r="N390" t="s">
        <v>432</v>
      </c>
    </row>
    <row r="391" spans="1:14" x14ac:dyDescent="0.25">
      <c r="A391" t="s">
        <v>293</v>
      </c>
      <c r="B391" s="1" t="s">
        <v>210</v>
      </c>
      <c r="C391" t="s">
        <v>289</v>
      </c>
      <c r="D391" s="1" t="s">
        <v>185</v>
      </c>
      <c r="E391">
        <v>69.45</v>
      </c>
      <c r="F391">
        <v>69.489999999999995</v>
      </c>
      <c r="G391">
        <v>69.965999999999994</v>
      </c>
      <c r="H391">
        <v>69.760999999999996</v>
      </c>
      <c r="I391">
        <v>69.680000000000007</v>
      </c>
      <c r="J391">
        <v>70.096999999999994</v>
      </c>
      <c r="K391">
        <v>66.674999999999997</v>
      </c>
      <c r="L391">
        <v>69.471999999999994</v>
      </c>
      <c r="M391">
        <v>69.832999999999998</v>
      </c>
      <c r="N391" t="s">
        <v>432</v>
      </c>
    </row>
    <row r="392" spans="1:14" x14ac:dyDescent="0.25">
      <c r="A392" t="s">
        <v>283</v>
      </c>
      <c r="B392" s="1" t="s">
        <v>80</v>
      </c>
      <c r="C392" t="s">
        <v>299</v>
      </c>
      <c r="D392" s="1" t="s">
        <v>87</v>
      </c>
      <c r="E392">
        <v>803.95965576000003</v>
      </c>
      <c r="F392">
        <v>816.08618163999995</v>
      </c>
      <c r="G392">
        <v>909.57818603999999</v>
      </c>
      <c r="H392">
        <v>978.73565673999997</v>
      </c>
      <c r="I392">
        <v>1014.0382080099999</v>
      </c>
      <c r="J392">
        <v>1025.9848632799999</v>
      </c>
      <c r="K392">
        <v>1183.30236816</v>
      </c>
      <c r="L392">
        <v>1219.2912597699999</v>
      </c>
      <c r="M392">
        <v>1577.98168945</v>
      </c>
      <c r="N392">
        <v>2014.1278076200001</v>
      </c>
    </row>
    <row r="393" spans="1:14" x14ac:dyDescent="0.25">
      <c r="A393" t="s">
        <v>283</v>
      </c>
      <c r="B393" s="1" t="s">
        <v>80</v>
      </c>
      <c r="C393" t="s">
        <v>289</v>
      </c>
      <c r="D393" s="1" t="s">
        <v>185</v>
      </c>
      <c r="E393">
        <v>77.451219512195124</v>
      </c>
      <c r="F393">
        <v>77.851219512195144</v>
      </c>
      <c r="G393">
        <v>77.753658536585377</v>
      </c>
      <c r="H393">
        <v>77.60243902439025</v>
      </c>
      <c r="I393">
        <v>77.904878048780489</v>
      </c>
      <c r="J393">
        <v>76.400000000000006</v>
      </c>
      <c r="K393">
        <v>75.351219512195144</v>
      </c>
      <c r="L393">
        <v>77.156097560975624</v>
      </c>
      <c r="M393">
        <v>78.507317073170739</v>
      </c>
      <c r="N393" t="s">
        <v>432</v>
      </c>
    </row>
    <row r="394" spans="1:14" x14ac:dyDescent="0.25">
      <c r="A394" t="s">
        <v>83</v>
      </c>
      <c r="B394" s="1" t="s">
        <v>110</v>
      </c>
      <c r="C394" t="s">
        <v>299</v>
      </c>
      <c r="D394" s="1" t="s">
        <v>87</v>
      </c>
      <c r="E394">
        <v>1787.0375976600001</v>
      </c>
      <c r="F394">
        <v>1870.31848145</v>
      </c>
      <c r="G394">
        <v>1991.32263184</v>
      </c>
      <c r="H394">
        <v>2206.7124023400002</v>
      </c>
      <c r="I394">
        <v>2209.5021972700001</v>
      </c>
      <c r="J394">
        <v>2328.3557128900002</v>
      </c>
      <c r="K394">
        <v>2764.04296875</v>
      </c>
      <c r="L394">
        <v>2600.5666503900002</v>
      </c>
      <c r="M394">
        <v>2762.26293945</v>
      </c>
      <c r="N394">
        <v>2971.0393066400002</v>
      </c>
    </row>
    <row r="395" spans="1:14" x14ac:dyDescent="0.25">
      <c r="A395" t="s">
        <v>83</v>
      </c>
      <c r="B395" s="1" t="s">
        <v>110</v>
      </c>
      <c r="C395" t="s">
        <v>289</v>
      </c>
      <c r="D395" s="1" t="s">
        <v>185</v>
      </c>
      <c r="E395">
        <v>81.124390243902454</v>
      </c>
      <c r="F395">
        <v>81.124390243902454</v>
      </c>
      <c r="G395">
        <v>81.424390243902451</v>
      </c>
      <c r="H395">
        <v>81.324390243902442</v>
      </c>
      <c r="I395">
        <v>81.675609756097572</v>
      </c>
      <c r="J395">
        <v>81.329268292682926</v>
      </c>
      <c r="K395">
        <v>81.378048780487802</v>
      </c>
      <c r="L395">
        <v>81.631707317073193</v>
      </c>
      <c r="M395">
        <v>82.280487804878064</v>
      </c>
      <c r="N395" t="s">
        <v>432</v>
      </c>
    </row>
    <row r="396" spans="1:14" x14ac:dyDescent="0.25">
      <c r="A396" t="s">
        <v>549</v>
      </c>
      <c r="B396" s="1" t="s">
        <v>550</v>
      </c>
      <c r="C396" t="s">
        <v>299</v>
      </c>
      <c r="D396" s="1" t="s">
        <v>87</v>
      </c>
      <c r="E396">
        <v>5112.9393918276437</v>
      </c>
      <c r="F396">
        <v>5275.0218598377514</v>
      </c>
      <c r="G396">
        <v>5452.6057601514731</v>
      </c>
      <c r="H396">
        <v>5718.6165487513845</v>
      </c>
      <c r="I396">
        <v>5831.5049491759037</v>
      </c>
      <c r="J396">
        <v>6358.7532460110997</v>
      </c>
      <c r="K396">
        <v>6913.6959237279434</v>
      </c>
      <c r="L396">
        <v>7086.3586084443195</v>
      </c>
      <c r="M396">
        <v>7413.5543576145701</v>
      </c>
      <c r="N396" t="s">
        <v>432</v>
      </c>
    </row>
    <row r="397" spans="1:14" x14ac:dyDescent="0.25">
      <c r="A397" t="s">
        <v>549</v>
      </c>
      <c r="B397" s="1" t="s">
        <v>550</v>
      </c>
      <c r="C397" t="s">
        <v>289</v>
      </c>
      <c r="D397" s="1" t="s">
        <v>185</v>
      </c>
      <c r="E397">
        <v>80.440099731333504</v>
      </c>
      <c r="F397">
        <v>80.611241150151713</v>
      </c>
      <c r="G397">
        <v>80.665055384405292</v>
      </c>
      <c r="H397">
        <v>80.744282664703434</v>
      </c>
      <c r="I397">
        <v>80.970084668154058</v>
      </c>
      <c r="J397">
        <v>80.065879172784321</v>
      </c>
      <c r="K397">
        <v>79.795523878841564</v>
      </c>
      <c r="L397">
        <v>80.19778783001162</v>
      </c>
      <c r="M397">
        <v>80.823056383763642</v>
      </c>
      <c r="N397" t="s">
        <v>432</v>
      </c>
    </row>
    <row r="398" spans="1:14" x14ac:dyDescent="0.25">
      <c r="A398" t="s">
        <v>551</v>
      </c>
      <c r="B398" s="1" t="s">
        <v>552</v>
      </c>
      <c r="C398" t="s">
        <v>299</v>
      </c>
      <c r="D398" s="1" t="s">
        <v>87</v>
      </c>
      <c r="E398">
        <v>61.863886486828953</v>
      </c>
      <c r="F398">
        <v>59.534165727086474</v>
      </c>
      <c r="G398">
        <v>57.505461242460093</v>
      </c>
      <c r="H398">
        <v>56.147457597706762</v>
      </c>
      <c r="I398">
        <v>57.566596560101196</v>
      </c>
      <c r="J398">
        <v>58.831001507530409</v>
      </c>
      <c r="K398">
        <v>64.829896575864737</v>
      </c>
      <c r="L398">
        <v>68.618036868195972</v>
      </c>
      <c r="M398">
        <v>65.281134186264026</v>
      </c>
      <c r="N398" t="s">
        <v>432</v>
      </c>
    </row>
    <row r="399" spans="1:14" x14ac:dyDescent="0.25">
      <c r="A399" t="s">
        <v>551</v>
      </c>
      <c r="B399" s="1" t="s">
        <v>552</v>
      </c>
      <c r="C399" t="s">
        <v>289</v>
      </c>
      <c r="D399" s="1" t="s">
        <v>185</v>
      </c>
      <c r="E399">
        <v>58.936266500330007</v>
      </c>
      <c r="F399">
        <v>59.236356240082657</v>
      </c>
      <c r="G399">
        <v>59.540235073662366</v>
      </c>
      <c r="H399">
        <v>60.207472480234813</v>
      </c>
      <c r="I399">
        <v>60.556800895555249</v>
      </c>
      <c r="J399">
        <v>60.501207001443944</v>
      </c>
      <c r="K399">
        <v>60.275250511725922</v>
      </c>
      <c r="L399">
        <v>61.383288002950259</v>
      </c>
      <c r="M399">
        <v>62.163629890279076</v>
      </c>
      <c r="N399" t="s">
        <v>432</v>
      </c>
    </row>
    <row r="400" spans="1:14" x14ac:dyDescent="0.25">
      <c r="A400" t="s">
        <v>553</v>
      </c>
      <c r="B400" s="1" t="s">
        <v>554</v>
      </c>
      <c r="C400" t="s">
        <v>299</v>
      </c>
      <c r="D400" s="1" t="s">
        <v>87</v>
      </c>
      <c r="E400" t="s">
        <v>432</v>
      </c>
      <c r="F400" t="s">
        <v>432</v>
      </c>
      <c r="G400" t="s">
        <v>432</v>
      </c>
      <c r="H400" t="s">
        <v>432</v>
      </c>
      <c r="I400" t="s">
        <v>432</v>
      </c>
      <c r="J400" t="s">
        <v>432</v>
      </c>
      <c r="K400" t="s">
        <v>432</v>
      </c>
      <c r="L400" t="s">
        <v>432</v>
      </c>
      <c r="M400" t="s">
        <v>432</v>
      </c>
      <c r="N400" t="s">
        <v>432</v>
      </c>
    </row>
    <row r="401" spans="1:14" x14ac:dyDescent="0.25">
      <c r="A401" t="s">
        <v>553</v>
      </c>
      <c r="B401" s="1" t="s">
        <v>554</v>
      </c>
      <c r="C401" t="s">
        <v>289</v>
      </c>
      <c r="D401" s="1" t="s">
        <v>185</v>
      </c>
      <c r="E401">
        <v>80.677000000000007</v>
      </c>
      <c r="F401">
        <v>80.355000000000004</v>
      </c>
      <c r="G401">
        <v>79.069999999999993</v>
      </c>
      <c r="H401">
        <v>81.085999999999999</v>
      </c>
      <c r="I401">
        <v>81.438000000000002</v>
      </c>
      <c r="J401">
        <v>80.009</v>
      </c>
      <c r="K401">
        <v>79.77</v>
      </c>
      <c r="L401">
        <v>79.427000000000007</v>
      </c>
      <c r="M401">
        <v>81.69</v>
      </c>
      <c r="N401" t="s">
        <v>432</v>
      </c>
    </row>
    <row r="402" spans="1:14" x14ac:dyDescent="0.25">
      <c r="A402" t="s">
        <v>247</v>
      </c>
      <c r="B402" s="1" t="s">
        <v>245</v>
      </c>
      <c r="C402" t="s">
        <v>299</v>
      </c>
      <c r="D402" s="1" t="s">
        <v>87</v>
      </c>
      <c r="E402">
        <v>2422.64453125</v>
      </c>
      <c r="F402">
        <v>2072.0610351599998</v>
      </c>
      <c r="G402">
        <v>1911.9536132799999</v>
      </c>
      <c r="H402">
        <v>1966.5571289100001</v>
      </c>
      <c r="I402">
        <v>2007.51525879</v>
      </c>
      <c r="J402">
        <v>1967.15197754</v>
      </c>
      <c r="K402">
        <v>1847.00231934</v>
      </c>
      <c r="L402">
        <v>1781.50390625</v>
      </c>
      <c r="M402">
        <v>1804.35424805</v>
      </c>
      <c r="N402" t="s">
        <v>432</v>
      </c>
    </row>
    <row r="403" spans="1:14" x14ac:dyDescent="0.25">
      <c r="A403" t="s">
        <v>247</v>
      </c>
      <c r="B403" s="1" t="s">
        <v>245</v>
      </c>
      <c r="C403" t="s">
        <v>289</v>
      </c>
      <c r="D403" s="1" t="s">
        <v>185</v>
      </c>
      <c r="E403">
        <v>81.784999999999997</v>
      </c>
      <c r="F403">
        <v>82.147000000000006</v>
      </c>
      <c r="G403">
        <v>82.457999999999998</v>
      </c>
      <c r="H403">
        <v>82.713999999999999</v>
      </c>
      <c r="I403">
        <v>82.944999999999993</v>
      </c>
      <c r="J403">
        <v>80.409000000000006</v>
      </c>
      <c r="K403">
        <v>81.082999999999998</v>
      </c>
      <c r="L403">
        <v>81.856999999999999</v>
      </c>
      <c r="M403">
        <v>82.367999999999995</v>
      </c>
      <c r="N403" t="s">
        <v>432</v>
      </c>
    </row>
    <row r="404" spans="1:14" x14ac:dyDescent="0.25">
      <c r="A404" t="s">
        <v>303</v>
      </c>
      <c r="B404" s="1" t="s">
        <v>29</v>
      </c>
      <c r="C404" t="s">
        <v>299</v>
      </c>
      <c r="D404" s="1" t="s">
        <v>87</v>
      </c>
      <c r="E404">
        <v>442.24038696000002</v>
      </c>
      <c r="F404">
        <v>476.24505614999998</v>
      </c>
      <c r="G404">
        <v>555.11309814000003</v>
      </c>
      <c r="H404">
        <v>687.15411376999998</v>
      </c>
      <c r="I404">
        <v>738.55816649999997</v>
      </c>
      <c r="J404">
        <v>809.58880614999998</v>
      </c>
      <c r="K404">
        <v>963.01287841999999</v>
      </c>
      <c r="L404">
        <v>902.26770020000004</v>
      </c>
      <c r="M404">
        <v>1050.9975585899999</v>
      </c>
      <c r="N404" t="s">
        <v>432</v>
      </c>
    </row>
    <row r="405" spans="1:14" x14ac:dyDescent="0.25">
      <c r="A405" t="s">
        <v>303</v>
      </c>
      <c r="B405" s="1" t="s">
        <v>29</v>
      </c>
      <c r="C405" t="s">
        <v>289</v>
      </c>
      <c r="D405" s="1" t="s">
        <v>185</v>
      </c>
      <c r="E405">
        <v>74.912195121951228</v>
      </c>
      <c r="F405">
        <v>75.209756097560984</v>
      </c>
      <c r="G405">
        <v>75.209756097560984</v>
      </c>
      <c r="H405">
        <v>75.358536585365869</v>
      </c>
      <c r="I405">
        <v>75.607317073170734</v>
      </c>
      <c r="J405">
        <v>74.253658536585391</v>
      </c>
      <c r="K405">
        <v>72.809756097560978</v>
      </c>
      <c r="L405">
        <v>75.153658536585368</v>
      </c>
      <c r="M405">
        <v>76.607317073170748</v>
      </c>
      <c r="N405" t="s">
        <v>432</v>
      </c>
    </row>
    <row r="406" spans="1:14" x14ac:dyDescent="0.25">
      <c r="A406" t="s">
        <v>8</v>
      </c>
      <c r="B406" s="1" t="s">
        <v>15</v>
      </c>
      <c r="C406" t="s">
        <v>299</v>
      </c>
      <c r="D406" s="1" t="s">
        <v>87</v>
      </c>
      <c r="E406">
        <v>496.94955443999999</v>
      </c>
      <c r="F406">
        <v>463.29275512999999</v>
      </c>
      <c r="G406">
        <v>577.06811522999999</v>
      </c>
      <c r="H406">
        <v>606.11401366999996</v>
      </c>
      <c r="I406">
        <v>650.47058104999996</v>
      </c>
      <c r="J406">
        <v>814.94451904000005</v>
      </c>
      <c r="K406">
        <v>881.74395751999998</v>
      </c>
      <c r="L406">
        <v>1082.8210449200001</v>
      </c>
      <c r="M406">
        <v>1003.33166504</v>
      </c>
      <c r="N406" t="s">
        <v>432</v>
      </c>
    </row>
    <row r="407" spans="1:14" x14ac:dyDescent="0.25">
      <c r="A407" t="s">
        <v>8</v>
      </c>
      <c r="B407" s="1" t="s">
        <v>15</v>
      </c>
      <c r="C407" t="s">
        <v>289</v>
      </c>
      <c r="D407" s="1" t="s">
        <v>185</v>
      </c>
      <c r="E407">
        <v>71.183414634146345</v>
      </c>
      <c r="F407">
        <v>71.651219512195127</v>
      </c>
      <c r="G407">
        <v>72.451463414634162</v>
      </c>
      <c r="H407">
        <v>72.662195121951214</v>
      </c>
      <c r="I407">
        <v>73.083902439024399</v>
      </c>
      <c r="J407">
        <v>71.338780487804897</v>
      </c>
      <c r="K407">
        <v>69.90024390243903</v>
      </c>
      <c r="L407">
        <v>72.545609756097576</v>
      </c>
      <c r="M407">
        <v>73.254634146341488</v>
      </c>
      <c r="N407" t="s">
        <v>432</v>
      </c>
    </row>
    <row r="408" spans="1:14" x14ac:dyDescent="0.25">
      <c r="A408" t="s">
        <v>267</v>
      </c>
      <c r="B408" s="1" t="s">
        <v>395</v>
      </c>
      <c r="C408" t="s">
        <v>299</v>
      </c>
      <c r="D408" s="1" t="s">
        <v>87</v>
      </c>
      <c r="E408">
        <v>48.812969209999999</v>
      </c>
      <c r="F408">
        <v>43.542121889999997</v>
      </c>
      <c r="G408">
        <v>40.766826629999997</v>
      </c>
      <c r="H408">
        <v>42.116748809999997</v>
      </c>
      <c r="I408">
        <v>39.813220979999997</v>
      </c>
      <c r="J408">
        <v>45.152664180000002</v>
      </c>
      <c r="K408">
        <v>51.646774290000003</v>
      </c>
      <c r="L408">
        <v>57.831020359999997</v>
      </c>
      <c r="M408">
        <v>52.656307220000002</v>
      </c>
      <c r="N408" t="s">
        <v>432</v>
      </c>
    </row>
    <row r="409" spans="1:14" x14ac:dyDescent="0.25">
      <c r="A409" t="s">
        <v>267</v>
      </c>
      <c r="B409" s="1" t="s">
        <v>395</v>
      </c>
      <c r="C409" t="s">
        <v>289</v>
      </c>
      <c r="D409" s="1" t="s">
        <v>185</v>
      </c>
      <c r="E409">
        <v>65.418999999999997</v>
      </c>
      <c r="F409">
        <v>65.733000000000004</v>
      </c>
      <c r="G409">
        <v>66.14</v>
      </c>
      <c r="H409">
        <v>66.353999999999999</v>
      </c>
      <c r="I409">
        <v>66.691000000000003</v>
      </c>
      <c r="J409">
        <v>66.953000000000003</v>
      </c>
      <c r="K409">
        <v>66.849999999999994</v>
      </c>
      <c r="L409">
        <v>67.528000000000006</v>
      </c>
      <c r="M409">
        <v>67.784999999999997</v>
      </c>
      <c r="N409" t="s">
        <v>432</v>
      </c>
    </row>
    <row r="410" spans="1:14" x14ac:dyDescent="0.25">
      <c r="A410" t="s">
        <v>341</v>
      </c>
      <c r="B410" s="1" t="s">
        <v>274</v>
      </c>
      <c r="C410" t="s">
        <v>299</v>
      </c>
      <c r="D410" s="1" t="s">
        <v>87</v>
      </c>
      <c r="E410">
        <v>232.50479125999999</v>
      </c>
      <c r="F410">
        <v>238.35044861</v>
      </c>
      <c r="G410">
        <v>220.82336426000001</v>
      </c>
      <c r="H410">
        <v>200.40919495</v>
      </c>
      <c r="I410">
        <v>242.91064453000001</v>
      </c>
      <c r="J410">
        <v>252.77748108</v>
      </c>
      <c r="K410">
        <v>285.65393066000001</v>
      </c>
      <c r="L410">
        <v>259.95404052999999</v>
      </c>
      <c r="M410">
        <v>292.81085204999999</v>
      </c>
      <c r="N410" t="s">
        <v>432</v>
      </c>
    </row>
    <row r="411" spans="1:14" x14ac:dyDescent="0.25">
      <c r="A411" t="s">
        <v>341</v>
      </c>
      <c r="B411" s="1" t="s">
        <v>274</v>
      </c>
      <c r="C411" t="s">
        <v>289</v>
      </c>
      <c r="D411" s="1" t="s">
        <v>185</v>
      </c>
      <c r="E411">
        <v>71.06</v>
      </c>
      <c r="F411">
        <v>71.003</v>
      </c>
      <c r="G411">
        <v>70.991</v>
      </c>
      <c r="H411">
        <v>71.052000000000007</v>
      </c>
      <c r="I411">
        <v>70.269000000000005</v>
      </c>
      <c r="J411">
        <v>70.727000000000004</v>
      </c>
      <c r="K411">
        <v>71.096000000000004</v>
      </c>
      <c r="L411">
        <v>71.55</v>
      </c>
      <c r="M411">
        <v>71.697999999999993</v>
      </c>
      <c r="N411" t="s">
        <v>432</v>
      </c>
    </row>
    <row r="412" spans="1:14" x14ac:dyDescent="0.25">
      <c r="A412" t="s">
        <v>131</v>
      </c>
      <c r="B412" s="1" t="s">
        <v>313</v>
      </c>
      <c r="C412" t="s">
        <v>299</v>
      </c>
      <c r="D412" s="1" t="s">
        <v>87</v>
      </c>
      <c r="E412">
        <v>3530.0461425799999</v>
      </c>
      <c r="F412">
        <v>3621.2326660200001</v>
      </c>
      <c r="G412">
        <v>3672.3032226599998</v>
      </c>
      <c r="H412">
        <v>3969.3647460900002</v>
      </c>
      <c r="I412">
        <v>3801.2104492200001</v>
      </c>
      <c r="J412">
        <v>3758.609375</v>
      </c>
      <c r="K412">
        <v>4033.1027832</v>
      </c>
      <c r="L412">
        <v>3874.9853515599998</v>
      </c>
      <c r="M412">
        <v>3923.5234375</v>
      </c>
      <c r="N412" t="s">
        <v>432</v>
      </c>
    </row>
    <row r="413" spans="1:14" x14ac:dyDescent="0.25">
      <c r="A413" t="s">
        <v>131</v>
      </c>
      <c r="B413" s="1" t="s">
        <v>313</v>
      </c>
      <c r="C413" t="s">
        <v>289</v>
      </c>
      <c r="D413" s="1" t="s">
        <v>185</v>
      </c>
      <c r="E413">
        <v>84.596000000000004</v>
      </c>
      <c r="F413">
        <v>84.775000000000006</v>
      </c>
      <c r="G413">
        <v>84.933000000000007</v>
      </c>
      <c r="H413">
        <v>85.094999999999999</v>
      </c>
      <c r="I413">
        <v>85.257000000000005</v>
      </c>
      <c r="J413">
        <v>82.65</v>
      </c>
      <c r="K413">
        <v>83.539000000000001</v>
      </c>
      <c r="L413">
        <v>85.707999999999998</v>
      </c>
      <c r="M413">
        <v>85.706000000000003</v>
      </c>
      <c r="N413" t="s">
        <v>432</v>
      </c>
    </row>
    <row r="414" spans="1:14" x14ac:dyDescent="0.25">
      <c r="A414" t="s">
        <v>291</v>
      </c>
      <c r="B414" s="1" t="s">
        <v>228</v>
      </c>
      <c r="C414" t="s">
        <v>299</v>
      </c>
      <c r="D414" s="1" t="s">
        <v>87</v>
      </c>
      <c r="E414">
        <v>85.378288269999999</v>
      </c>
      <c r="F414">
        <v>109.73142242</v>
      </c>
      <c r="G414">
        <v>117.07767487</v>
      </c>
      <c r="H414">
        <v>108.87628936999999</v>
      </c>
      <c r="I414">
        <v>106.86884308</v>
      </c>
      <c r="J414">
        <v>159.84396362000001</v>
      </c>
      <c r="K414">
        <v>187.06524658000001</v>
      </c>
      <c r="L414">
        <v>139.02836608999999</v>
      </c>
      <c r="M414">
        <v>171.05166625999999</v>
      </c>
      <c r="N414" t="s">
        <v>432</v>
      </c>
    </row>
    <row r="415" spans="1:14" x14ac:dyDescent="0.25">
      <c r="A415" t="s">
        <v>291</v>
      </c>
      <c r="B415" s="1" t="s">
        <v>228</v>
      </c>
      <c r="C415" t="s">
        <v>289</v>
      </c>
      <c r="D415" s="1" t="s">
        <v>185</v>
      </c>
      <c r="E415">
        <v>66.022999999999996</v>
      </c>
      <c r="F415">
        <v>66.563000000000002</v>
      </c>
      <c r="G415">
        <v>67.073999999999998</v>
      </c>
      <c r="H415">
        <v>67.602000000000004</v>
      </c>
      <c r="I415">
        <v>68.043000000000006</v>
      </c>
      <c r="J415">
        <v>67.978999999999999</v>
      </c>
      <c r="K415">
        <v>68.025999999999996</v>
      </c>
      <c r="L415">
        <v>69.236999999999995</v>
      </c>
      <c r="M415">
        <v>69.718000000000004</v>
      </c>
      <c r="N415" t="s">
        <v>432</v>
      </c>
    </row>
    <row r="416" spans="1:14" x14ac:dyDescent="0.25">
      <c r="A416" t="s">
        <v>334</v>
      </c>
      <c r="B416" s="1" t="s">
        <v>271</v>
      </c>
      <c r="C416" t="s">
        <v>299</v>
      </c>
      <c r="D416" s="1" t="s">
        <v>87</v>
      </c>
      <c r="E416">
        <v>1309.2714843799999</v>
      </c>
      <c r="F416">
        <v>1353.21813965</v>
      </c>
      <c r="G416">
        <v>1400.90356445</v>
      </c>
      <c r="H416">
        <v>1488.9753418</v>
      </c>
      <c r="I416">
        <v>1504.5524902300001</v>
      </c>
      <c r="J416">
        <v>1574.7006835899999</v>
      </c>
      <c r="K416">
        <v>1654.7435302700001</v>
      </c>
      <c r="L416">
        <v>1830.8907470700001</v>
      </c>
      <c r="M416">
        <v>1825.2545166</v>
      </c>
      <c r="N416" t="s">
        <v>432</v>
      </c>
    </row>
    <row r="417" spans="1:14" x14ac:dyDescent="0.25">
      <c r="A417" t="s">
        <v>334</v>
      </c>
      <c r="B417" s="1" t="s">
        <v>271</v>
      </c>
      <c r="C417" t="s">
        <v>289</v>
      </c>
      <c r="D417" s="1" t="s">
        <v>185</v>
      </c>
      <c r="E417">
        <v>77.775999999999996</v>
      </c>
      <c r="F417">
        <v>78.353999999999999</v>
      </c>
      <c r="G417">
        <v>78.721000000000004</v>
      </c>
      <c r="H417">
        <v>78.75</v>
      </c>
      <c r="I417">
        <v>78.313000000000002</v>
      </c>
      <c r="J417">
        <v>77.596000000000004</v>
      </c>
      <c r="K417">
        <v>77.088999999999999</v>
      </c>
      <c r="L417">
        <v>77.31</v>
      </c>
      <c r="M417">
        <v>78.731999999999999</v>
      </c>
      <c r="N417" t="s">
        <v>432</v>
      </c>
    </row>
    <row r="418" spans="1:14" x14ac:dyDescent="0.25">
      <c r="A418" t="s">
        <v>170</v>
      </c>
      <c r="B418" s="1" t="s">
        <v>162</v>
      </c>
      <c r="C418" t="s">
        <v>299</v>
      </c>
      <c r="D418" s="1" t="s">
        <v>87</v>
      </c>
      <c r="E418">
        <v>53.323043820000002</v>
      </c>
      <c r="F418">
        <v>53.900535580000003</v>
      </c>
      <c r="G418">
        <v>56.491859439999999</v>
      </c>
      <c r="H418">
        <v>64.374679569999998</v>
      </c>
      <c r="I418">
        <v>64.33670807</v>
      </c>
      <c r="J418">
        <v>75.165214539999994</v>
      </c>
      <c r="K418">
        <v>71.121627810000007</v>
      </c>
      <c r="L418">
        <v>63.448425290000003</v>
      </c>
      <c r="M418">
        <v>73.22670746</v>
      </c>
      <c r="N418" t="s">
        <v>432</v>
      </c>
    </row>
    <row r="419" spans="1:14" x14ac:dyDescent="0.25">
      <c r="A419" t="s">
        <v>170</v>
      </c>
      <c r="B419" s="1" t="s">
        <v>162</v>
      </c>
      <c r="C419" t="s">
        <v>289</v>
      </c>
      <c r="D419" s="1" t="s">
        <v>185</v>
      </c>
      <c r="E419">
        <v>66.450999999999993</v>
      </c>
      <c r="F419">
        <v>66.724000000000004</v>
      </c>
      <c r="G419">
        <v>67.058999999999997</v>
      </c>
      <c r="H419">
        <v>67.379000000000005</v>
      </c>
      <c r="I419">
        <v>67.668000000000006</v>
      </c>
      <c r="J419">
        <v>67.495999999999995</v>
      </c>
      <c r="K419">
        <v>66.867999999999995</v>
      </c>
      <c r="L419">
        <v>67.787999999999997</v>
      </c>
      <c r="M419">
        <v>68.683000000000007</v>
      </c>
      <c r="N419" t="s">
        <v>432</v>
      </c>
    </row>
    <row r="420" spans="1:14" x14ac:dyDescent="0.25">
      <c r="A420" t="s">
        <v>414</v>
      </c>
      <c r="B420" s="1" t="s">
        <v>146</v>
      </c>
      <c r="C420" t="s">
        <v>299</v>
      </c>
      <c r="D420" s="1" t="s">
        <v>87</v>
      </c>
      <c r="E420">
        <v>491.25177001999998</v>
      </c>
      <c r="F420">
        <v>486.42944335999999</v>
      </c>
      <c r="G420">
        <v>515.84570312999995</v>
      </c>
      <c r="H420">
        <v>617.08691406000003</v>
      </c>
      <c r="I420">
        <v>641.04754638999998</v>
      </c>
      <c r="J420">
        <v>670.03564453000001</v>
      </c>
      <c r="K420">
        <v>889.09753418000003</v>
      </c>
      <c r="L420">
        <v>843.57733154000005</v>
      </c>
      <c r="M420">
        <v>983.69372558999999</v>
      </c>
      <c r="N420" t="s">
        <v>432</v>
      </c>
    </row>
    <row r="421" spans="1:14" x14ac:dyDescent="0.25">
      <c r="A421" t="s">
        <v>414</v>
      </c>
      <c r="B421" s="1" t="s">
        <v>146</v>
      </c>
      <c r="C421" t="s">
        <v>289</v>
      </c>
      <c r="D421" s="1" t="s">
        <v>185</v>
      </c>
      <c r="E421">
        <v>75.287804878048789</v>
      </c>
      <c r="F421">
        <v>75.68780487804878</v>
      </c>
      <c r="G421">
        <v>75.53902439024391</v>
      </c>
      <c r="H421">
        <v>75.890243902439025</v>
      </c>
      <c r="I421">
        <v>75.936585365853674</v>
      </c>
      <c r="J421">
        <v>74.478048780487811</v>
      </c>
      <c r="K421">
        <v>72.780487804878049</v>
      </c>
      <c r="L421">
        <v>75.236585365853671</v>
      </c>
      <c r="M421">
        <v>76.220975609756096</v>
      </c>
      <c r="N421" t="s">
        <v>432</v>
      </c>
    </row>
    <row r="422" spans="1:14" x14ac:dyDescent="0.25">
      <c r="A422" t="s">
        <v>217</v>
      </c>
      <c r="B422" s="1" t="s">
        <v>79</v>
      </c>
      <c r="C422" t="s">
        <v>299</v>
      </c>
      <c r="D422" s="1" t="s">
        <v>87</v>
      </c>
      <c r="E422">
        <v>566.96704102000001</v>
      </c>
      <c r="F422">
        <v>673.19622803000004</v>
      </c>
      <c r="G422">
        <v>667.09515381000006</v>
      </c>
      <c r="H422">
        <v>685.10827637</v>
      </c>
      <c r="I422">
        <v>675.47839354999996</v>
      </c>
      <c r="J422">
        <v>670.88684081999997</v>
      </c>
      <c r="K422">
        <v>629.85974121000004</v>
      </c>
      <c r="L422">
        <v>707.34448241999996</v>
      </c>
      <c r="M422">
        <v>766.28778076000003</v>
      </c>
      <c r="N422" t="s">
        <v>432</v>
      </c>
    </row>
    <row r="423" spans="1:14" x14ac:dyDescent="0.25">
      <c r="A423" t="s">
        <v>217</v>
      </c>
      <c r="B423" s="1" t="s">
        <v>79</v>
      </c>
      <c r="C423" t="s">
        <v>289</v>
      </c>
      <c r="D423" s="1" t="s">
        <v>185</v>
      </c>
      <c r="E423">
        <v>74.295121951219528</v>
      </c>
      <c r="F423">
        <v>74.309756097560992</v>
      </c>
      <c r="G423">
        <v>74.300000000000011</v>
      </c>
      <c r="H423">
        <v>72.841463414634148</v>
      </c>
      <c r="I423">
        <v>74.046341463414649</v>
      </c>
      <c r="J423">
        <v>77.236585365853671</v>
      </c>
      <c r="K423">
        <v>73.39756097560975</v>
      </c>
      <c r="L423">
        <v>73.702439024390259</v>
      </c>
      <c r="M423">
        <v>74.958536585365863</v>
      </c>
      <c r="N423" t="s">
        <v>432</v>
      </c>
    </row>
    <row r="424" spans="1:14" x14ac:dyDescent="0.25">
      <c r="A424" t="s">
        <v>118</v>
      </c>
      <c r="B424" s="1" t="s">
        <v>218</v>
      </c>
      <c r="C424" t="s">
        <v>299</v>
      </c>
      <c r="D424" s="1" t="s">
        <v>87</v>
      </c>
      <c r="E424">
        <v>118.66024016999999</v>
      </c>
      <c r="F424">
        <v>84.223167419999996</v>
      </c>
      <c r="G424">
        <v>47.377372739999998</v>
      </c>
      <c r="H424">
        <v>44.827335359999999</v>
      </c>
      <c r="I424">
        <v>48.136199949999998</v>
      </c>
      <c r="J424">
        <v>47.886161799999996</v>
      </c>
      <c r="K424">
        <v>44.900493619999999</v>
      </c>
      <c r="L424">
        <v>41.318752289999999</v>
      </c>
      <c r="M424">
        <v>35.762050629999997</v>
      </c>
      <c r="N424" t="s">
        <v>432</v>
      </c>
    </row>
    <row r="425" spans="1:14" x14ac:dyDescent="0.25">
      <c r="A425" t="s">
        <v>118</v>
      </c>
      <c r="B425" s="1" t="s">
        <v>218</v>
      </c>
      <c r="C425" t="s">
        <v>289</v>
      </c>
      <c r="D425" s="1" t="s">
        <v>185</v>
      </c>
      <c r="E425">
        <v>55.454000000000001</v>
      </c>
      <c r="F425">
        <v>56.936999999999998</v>
      </c>
      <c r="G425">
        <v>57.761000000000003</v>
      </c>
      <c r="H425">
        <v>59.058999999999997</v>
      </c>
      <c r="I425">
        <v>59.593000000000004</v>
      </c>
      <c r="J425">
        <v>59.694000000000003</v>
      </c>
      <c r="K425">
        <v>60.26</v>
      </c>
      <c r="L425">
        <v>61.274999999999999</v>
      </c>
      <c r="M425">
        <v>61.786000000000001</v>
      </c>
      <c r="N425" t="s">
        <v>432</v>
      </c>
    </row>
    <row r="426" spans="1:14" x14ac:dyDescent="0.25">
      <c r="A426" t="s">
        <v>107</v>
      </c>
      <c r="B426" s="1" t="s">
        <v>132</v>
      </c>
      <c r="C426" t="s">
        <v>299</v>
      </c>
      <c r="D426" s="1" t="s">
        <v>87</v>
      </c>
      <c r="E426">
        <v>2330.3959960900002</v>
      </c>
      <c r="F426">
        <v>2509.9216308599998</v>
      </c>
      <c r="G426">
        <v>2673.6621093799999</v>
      </c>
      <c r="H426">
        <v>2726.0068359400002</v>
      </c>
      <c r="I426">
        <v>2924.2470703099998</v>
      </c>
      <c r="J426">
        <v>3541.36450195</v>
      </c>
      <c r="K426">
        <v>4050.8105468799999</v>
      </c>
      <c r="L426">
        <v>3902.1442871099998</v>
      </c>
      <c r="M426">
        <v>3921.6025390599998</v>
      </c>
      <c r="N426" t="s">
        <v>432</v>
      </c>
    </row>
    <row r="427" spans="1:14" x14ac:dyDescent="0.25">
      <c r="A427" t="s">
        <v>107</v>
      </c>
      <c r="B427" s="1" t="s">
        <v>132</v>
      </c>
      <c r="C427" t="s">
        <v>289</v>
      </c>
      <c r="D427" s="1" t="s">
        <v>185</v>
      </c>
      <c r="E427">
        <v>82.743902439024396</v>
      </c>
      <c r="F427">
        <v>82.846341463414646</v>
      </c>
      <c r="G427">
        <v>83.095121951219539</v>
      </c>
      <c r="H427">
        <v>83.297560975609755</v>
      </c>
      <c r="I427">
        <v>83.595121951219525</v>
      </c>
      <c r="J427">
        <v>83.543902439024393</v>
      </c>
      <c r="K427">
        <v>83.092682926829283</v>
      </c>
      <c r="L427">
        <v>82.895121951219522</v>
      </c>
      <c r="M427">
        <v>82.895121951219522</v>
      </c>
      <c r="N427" t="s">
        <v>432</v>
      </c>
    </row>
    <row r="428" spans="1:14" x14ac:dyDescent="0.25">
      <c r="A428" t="s">
        <v>555</v>
      </c>
      <c r="B428" s="1" t="s">
        <v>556</v>
      </c>
      <c r="C428" t="s">
        <v>299</v>
      </c>
      <c r="D428" s="1" t="s">
        <v>87</v>
      </c>
      <c r="E428" t="s">
        <v>432</v>
      </c>
      <c r="F428" t="s">
        <v>432</v>
      </c>
      <c r="G428" t="s">
        <v>432</v>
      </c>
      <c r="H428" t="s">
        <v>432</v>
      </c>
      <c r="I428" t="s">
        <v>432</v>
      </c>
      <c r="J428" t="s">
        <v>432</v>
      </c>
      <c r="K428" t="s">
        <v>432</v>
      </c>
      <c r="L428" t="s">
        <v>432</v>
      </c>
      <c r="M428" t="s">
        <v>432</v>
      </c>
      <c r="N428" t="s">
        <v>432</v>
      </c>
    </row>
    <row r="429" spans="1:14" x14ac:dyDescent="0.25">
      <c r="A429" t="s">
        <v>555</v>
      </c>
      <c r="B429" s="1" t="s">
        <v>556</v>
      </c>
      <c r="C429" t="s">
        <v>289</v>
      </c>
      <c r="D429" s="1" t="s">
        <v>185</v>
      </c>
      <c r="E429">
        <v>75.899000000000001</v>
      </c>
      <c r="F429">
        <v>75.951999999999998</v>
      </c>
      <c r="G429">
        <v>75.454999999999998</v>
      </c>
      <c r="H429">
        <v>75.692999999999998</v>
      </c>
      <c r="I429">
        <v>75.680000000000007</v>
      </c>
      <c r="J429">
        <v>75.001999999999995</v>
      </c>
      <c r="K429">
        <v>74.504999999999995</v>
      </c>
      <c r="L429">
        <v>76.180000000000007</v>
      </c>
      <c r="M429">
        <v>76.370999999999995</v>
      </c>
      <c r="N429" t="s">
        <v>432</v>
      </c>
    </row>
    <row r="430" spans="1:14" x14ac:dyDescent="0.25">
      <c r="A430" t="s">
        <v>84</v>
      </c>
      <c r="B430" s="1" t="s">
        <v>338</v>
      </c>
      <c r="C430" t="s">
        <v>299</v>
      </c>
      <c r="D430" s="1" t="s">
        <v>87</v>
      </c>
      <c r="E430">
        <v>1108.8781738299999</v>
      </c>
      <c r="F430">
        <v>1175.6270752</v>
      </c>
      <c r="G430">
        <v>1189.0798339800001</v>
      </c>
      <c r="H430">
        <v>1299.9112548799999</v>
      </c>
      <c r="I430">
        <v>1342.07580566</v>
      </c>
      <c r="J430">
        <v>1393.62438965</v>
      </c>
      <c r="K430">
        <v>1684.5155029299999</v>
      </c>
      <c r="L430">
        <v>1642.3920898399999</v>
      </c>
      <c r="M430">
        <v>1813.4661865200001</v>
      </c>
      <c r="N430" t="s">
        <v>432</v>
      </c>
    </row>
    <row r="431" spans="1:14" x14ac:dyDescent="0.25">
      <c r="A431" t="s">
        <v>84</v>
      </c>
      <c r="B431" s="1" t="s">
        <v>338</v>
      </c>
      <c r="C431" t="s">
        <v>289</v>
      </c>
      <c r="D431" s="1" t="s">
        <v>185</v>
      </c>
      <c r="E431">
        <v>76.563414634146341</v>
      </c>
      <c r="F431">
        <v>77.165853658536591</v>
      </c>
      <c r="G431">
        <v>77.165853658536591</v>
      </c>
      <c r="H431">
        <v>77.265853658536599</v>
      </c>
      <c r="I431">
        <v>77.665853658536591</v>
      </c>
      <c r="J431">
        <v>76.865853658536579</v>
      </c>
      <c r="K431">
        <v>74.614634146341473</v>
      </c>
      <c r="L431">
        <v>76.965853658536588</v>
      </c>
      <c r="M431">
        <v>78.01707317073172</v>
      </c>
      <c r="N431" t="s">
        <v>432</v>
      </c>
    </row>
    <row r="432" spans="1:14" x14ac:dyDescent="0.25">
      <c r="A432" t="s">
        <v>16</v>
      </c>
      <c r="B432" s="1" t="s">
        <v>12</v>
      </c>
      <c r="C432" t="s">
        <v>299</v>
      </c>
      <c r="D432" s="1" t="s">
        <v>87</v>
      </c>
      <c r="E432">
        <v>1775.8607177700001</v>
      </c>
      <c r="F432">
        <v>1838.6540527300001</v>
      </c>
      <c r="G432">
        <v>1925.0346679700001</v>
      </c>
      <c r="H432">
        <v>2169.5788574200001</v>
      </c>
      <c r="I432">
        <v>2219.0979003900002</v>
      </c>
      <c r="J432">
        <v>2417.2087402299999</v>
      </c>
      <c r="K432">
        <v>2779.5659179700001</v>
      </c>
      <c r="L432">
        <v>2737.8493652299999</v>
      </c>
      <c r="M432">
        <v>3037.7644043</v>
      </c>
      <c r="N432">
        <v>3370.5307617200001</v>
      </c>
    </row>
    <row r="433" spans="1:14" x14ac:dyDescent="0.25">
      <c r="A433" t="s">
        <v>16</v>
      </c>
      <c r="B433" s="1" t="s">
        <v>12</v>
      </c>
      <c r="C433" t="s">
        <v>289</v>
      </c>
      <c r="D433" s="1" t="s">
        <v>185</v>
      </c>
      <c r="E433">
        <v>80.775609756097566</v>
      </c>
      <c r="F433">
        <v>81.175609756097572</v>
      </c>
      <c r="G433">
        <v>81.029268292682943</v>
      </c>
      <c r="H433">
        <v>81.378048780487802</v>
      </c>
      <c r="I433">
        <v>81.529268292682929</v>
      </c>
      <c r="J433">
        <v>80.531707317073185</v>
      </c>
      <c r="K433">
        <v>80.675609756097558</v>
      </c>
      <c r="L433">
        <v>81.282926829268291</v>
      </c>
      <c r="M433">
        <v>81.978048780487811</v>
      </c>
      <c r="N433" t="s">
        <v>432</v>
      </c>
    </row>
    <row r="434" spans="1:14" x14ac:dyDescent="0.25">
      <c r="A434" t="s">
        <v>557</v>
      </c>
      <c r="B434" s="1" t="s">
        <v>558</v>
      </c>
      <c r="C434" t="s">
        <v>299</v>
      </c>
      <c r="D434" s="1" t="s">
        <v>87</v>
      </c>
      <c r="E434">
        <v>654.35053012846242</v>
      </c>
      <c r="F434">
        <v>681.72300045167185</v>
      </c>
      <c r="G434">
        <v>737.74291322761417</v>
      </c>
      <c r="H434">
        <v>793.86619037865137</v>
      </c>
      <c r="I434">
        <v>811.64354375438234</v>
      </c>
      <c r="J434">
        <v>843.40290397822253</v>
      </c>
      <c r="K434">
        <v>964.43869614542768</v>
      </c>
      <c r="L434">
        <v>953.14772770978448</v>
      </c>
      <c r="M434">
        <v>1008.7214009774908</v>
      </c>
      <c r="N434" t="s">
        <v>432</v>
      </c>
    </row>
    <row r="435" spans="1:14" x14ac:dyDescent="0.25">
      <c r="A435" t="s">
        <v>557</v>
      </c>
      <c r="B435" s="1" t="s">
        <v>558</v>
      </c>
      <c r="C435" t="s">
        <v>289</v>
      </c>
      <c r="D435" s="1" t="s">
        <v>185</v>
      </c>
      <c r="E435">
        <v>71.124280501915749</v>
      </c>
      <c r="F435">
        <v>71.375985032793281</v>
      </c>
      <c r="G435">
        <v>71.655619408254751</v>
      </c>
      <c r="H435">
        <v>71.86407356152651</v>
      </c>
      <c r="I435">
        <v>72.00096073354689</v>
      </c>
      <c r="J435">
        <v>71.825555282267288</v>
      </c>
      <c r="K435">
        <v>70.775682589138228</v>
      </c>
      <c r="L435">
        <v>72.379467857760474</v>
      </c>
      <c r="M435">
        <v>72.896678865386249</v>
      </c>
      <c r="N435" t="s">
        <v>432</v>
      </c>
    </row>
    <row r="436" spans="1:14" x14ac:dyDescent="0.25">
      <c r="A436" t="s">
        <v>268</v>
      </c>
      <c r="B436" s="1" t="s">
        <v>368</v>
      </c>
      <c r="C436" t="s">
        <v>299</v>
      </c>
      <c r="D436" s="1" t="s">
        <v>87</v>
      </c>
      <c r="E436">
        <v>91.089897160000007</v>
      </c>
      <c r="F436">
        <v>94.329948430000002</v>
      </c>
      <c r="G436">
        <v>89.293571470000003</v>
      </c>
      <c r="H436">
        <v>88.038505549999996</v>
      </c>
      <c r="I436">
        <v>98.670257570000004</v>
      </c>
      <c r="J436">
        <v>100.99560547</v>
      </c>
      <c r="K436">
        <v>98.802619930000006</v>
      </c>
      <c r="L436">
        <v>96.748641969999994</v>
      </c>
      <c r="M436">
        <v>111.35532379</v>
      </c>
      <c r="N436" t="s">
        <v>432</v>
      </c>
    </row>
    <row r="437" spans="1:14" x14ac:dyDescent="0.25">
      <c r="A437" t="s">
        <v>268</v>
      </c>
      <c r="B437" s="1" t="s">
        <v>368</v>
      </c>
      <c r="C437" t="s">
        <v>289</v>
      </c>
      <c r="D437" s="1" t="s">
        <v>185</v>
      </c>
      <c r="E437">
        <v>69.322999999999993</v>
      </c>
      <c r="F437">
        <v>69.501000000000005</v>
      </c>
      <c r="G437">
        <v>69.652000000000001</v>
      </c>
      <c r="H437">
        <v>69.805999999999997</v>
      </c>
      <c r="I437">
        <v>69.980999999999995</v>
      </c>
      <c r="J437">
        <v>69.257999999999996</v>
      </c>
      <c r="K437">
        <v>68.89</v>
      </c>
      <c r="L437">
        <v>70.409000000000006</v>
      </c>
      <c r="M437">
        <v>70.528000000000006</v>
      </c>
      <c r="N437" t="s">
        <v>432</v>
      </c>
    </row>
    <row r="438" spans="1:14" x14ac:dyDescent="0.25">
      <c r="A438" t="s">
        <v>36</v>
      </c>
      <c r="B438" s="1" t="s">
        <v>257</v>
      </c>
      <c r="C438" t="s">
        <v>299</v>
      </c>
      <c r="D438" s="1" t="s">
        <v>87</v>
      </c>
      <c r="E438">
        <v>14.116139410000001</v>
      </c>
      <c r="F438">
        <v>11.766189580000001</v>
      </c>
      <c r="G438">
        <v>13.51753426</v>
      </c>
      <c r="H438">
        <v>12.7819252</v>
      </c>
      <c r="I438">
        <v>12.99074364</v>
      </c>
      <c r="J438">
        <v>12.79912567</v>
      </c>
      <c r="K438">
        <v>15.01879692</v>
      </c>
      <c r="L438">
        <v>16.316848749999998</v>
      </c>
      <c r="M438">
        <v>22.370655060000001</v>
      </c>
      <c r="N438" t="s">
        <v>432</v>
      </c>
    </row>
    <row r="439" spans="1:14" x14ac:dyDescent="0.25">
      <c r="A439" t="s">
        <v>36</v>
      </c>
      <c r="B439" s="1" t="s">
        <v>257</v>
      </c>
      <c r="C439" t="s">
        <v>289</v>
      </c>
      <c r="D439" s="1" t="s">
        <v>185</v>
      </c>
      <c r="E439">
        <v>55.055999999999997</v>
      </c>
      <c r="F439">
        <v>55.283000000000001</v>
      </c>
      <c r="G439">
        <v>52.19</v>
      </c>
      <c r="H439">
        <v>54.767000000000003</v>
      </c>
      <c r="I439">
        <v>57.249000000000002</v>
      </c>
      <c r="J439">
        <v>57.094999999999999</v>
      </c>
      <c r="K439">
        <v>55.703000000000003</v>
      </c>
      <c r="L439">
        <v>53.930999999999997</v>
      </c>
      <c r="M439">
        <v>58.816000000000003</v>
      </c>
      <c r="N439" t="s">
        <v>432</v>
      </c>
    </row>
    <row r="440" spans="1:14" x14ac:dyDescent="0.25">
      <c r="A440" t="s">
        <v>82</v>
      </c>
      <c r="B440" s="1" t="s">
        <v>393</v>
      </c>
      <c r="C440" t="s">
        <v>299</v>
      </c>
      <c r="D440" s="1" t="s">
        <v>87</v>
      </c>
      <c r="E440">
        <v>491.90652466</v>
      </c>
      <c r="F440">
        <v>456.56936646000003</v>
      </c>
      <c r="G440">
        <v>527.52026366999996</v>
      </c>
      <c r="H440">
        <v>558.80145263999998</v>
      </c>
      <c r="I440">
        <v>538.80438231999995</v>
      </c>
      <c r="J440">
        <v>503.46759033000001</v>
      </c>
      <c r="K440">
        <v>592.94653319999998</v>
      </c>
      <c r="L440">
        <v>570.48028564000003</v>
      </c>
      <c r="M440">
        <v>536.58843993999994</v>
      </c>
      <c r="N440" t="s">
        <v>432</v>
      </c>
    </row>
    <row r="441" spans="1:14" x14ac:dyDescent="0.25">
      <c r="A441" t="s">
        <v>82</v>
      </c>
      <c r="B441" s="1" t="s">
        <v>393</v>
      </c>
      <c r="C441" t="s">
        <v>289</v>
      </c>
      <c r="D441" s="1" t="s">
        <v>185</v>
      </c>
      <c r="E441">
        <v>64.052999999999997</v>
      </c>
      <c r="F441">
        <v>64.748999999999995</v>
      </c>
      <c r="G441">
        <v>65.421999999999997</v>
      </c>
      <c r="H441">
        <v>65.725999999999999</v>
      </c>
      <c r="I441">
        <v>66.070999999999998</v>
      </c>
      <c r="J441">
        <v>65.150000000000006</v>
      </c>
      <c r="K441">
        <v>62.01</v>
      </c>
      <c r="L441">
        <v>65.453999999999994</v>
      </c>
      <c r="M441">
        <v>66.138999999999996</v>
      </c>
      <c r="N441" t="s">
        <v>432</v>
      </c>
    </row>
    <row r="442" spans="1:14" x14ac:dyDescent="0.25">
      <c r="A442" t="s">
        <v>559</v>
      </c>
      <c r="B442" s="1" t="s">
        <v>560</v>
      </c>
      <c r="C442" t="s">
        <v>299</v>
      </c>
      <c r="D442" s="1" t="s">
        <v>87</v>
      </c>
      <c r="E442">
        <v>56.741705220376765</v>
      </c>
      <c r="F442">
        <v>58.847071495393621</v>
      </c>
      <c r="G442">
        <v>56.503092929653384</v>
      </c>
      <c r="H442">
        <v>57.627193749654587</v>
      </c>
      <c r="I442">
        <v>60.40975479402492</v>
      </c>
      <c r="J442">
        <v>63.799539871206903</v>
      </c>
      <c r="K442">
        <v>75.465334402148244</v>
      </c>
      <c r="L442">
        <v>79.991965893636433</v>
      </c>
      <c r="M442">
        <v>82.486985957452461</v>
      </c>
      <c r="N442" t="s">
        <v>432</v>
      </c>
    </row>
    <row r="443" spans="1:14" x14ac:dyDescent="0.25">
      <c r="A443" t="s">
        <v>559</v>
      </c>
      <c r="B443" s="1" t="s">
        <v>560</v>
      </c>
      <c r="C443" t="s">
        <v>289</v>
      </c>
      <c r="D443" s="1" t="s">
        <v>185</v>
      </c>
      <c r="E443">
        <v>69.511033412226325</v>
      </c>
      <c r="F443">
        <v>69.918470706329842</v>
      </c>
      <c r="G443">
        <v>70.290472338006069</v>
      </c>
      <c r="H443">
        <v>70.65235739713637</v>
      </c>
      <c r="I443">
        <v>70.997562314598099</v>
      </c>
      <c r="J443">
        <v>70.362220698249857</v>
      </c>
      <c r="K443">
        <v>67.821529976751279</v>
      </c>
      <c r="L443">
        <v>72.011573130844653</v>
      </c>
      <c r="M443">
        <v>72.324764878390297</v>
      </c>
      <c r="N443" t="s">
        <v>432</v>
      </c>
    </row>
    <row r="444" spans="1:14" x14ac:dyDescent="0.25">
      <c r="A444" t="s">
        <v>561</v>
      </c>
      <c r="B444" s="1" t="s">
        <v>562</v>
      </c>
      <c r="C444" t="s">
        <v>299</v>
      </c>
      <c r="D444" s="1" t="s">
        <v>87</v>
      </c>
      <c r="E444">
        <v>56.741705220376751</v>
      </c>
      <c r="F444">
        <v>58.847071495393621</v>
      </c>
      <c r="G444">
        <v>56.503092929653377</v>
      </c>
      <c r="H444">
        <v>57.627193749654587</v>
      </c>
      <c r="I444">
        <v>60.40975479402492</v>
      </c>
      <c r="J444">
        <v>63.799539871206903</v>
      </c>
      <c r="K444">
        <v>75.465334402148244</v>
      </c>
      <c r="L444">
        <v>79.991965893636433</v>
      </c>
      <c r="M444">
        <v>82.486985957452461</v>
      </c>
      <c r="N444" t="s">
        <v>432</v>
      </c>
    </row>
    <row r="445" spans="1:14" x14ac:dyDescent="0.25">
      <c r="A445" t="s">
        <v>561</v>
      </c>
      <c r="B445" s="1" t="s">
        <v>562</v>
      </c>
      <c r="C445" t="s">
        <v>289</v>
      </c>
      <c r="D445" s="1" t="s">
        <v>185</v>
      </c>
      <c r="E445">
        <v>69.511033412226325</v>
      </c>
      <c r="F445">
        <v>69.918470706329842</v>
      </c>
      <c r="G445">
        <v>70.290472338006069</v>
      </c>
      <c r="H445">
        <v>70.65235739713637</v>
      </c>
      <c r="I445">
        <v>70.997562314598099</v>
      </c>
      <c r="J445">
        <v>70.362220698249857</v>
      </c>
      <c r="K445">
        <v>67.821529976751265</v>
      </c>
      <c r="L445">
        <v>72.011573130844667</v>
      </c>
      <c r="M445">
        <v>72.324764878390297</v>
      </c>
      <c r="N445" t="s">
        <v>432</v>
      </c>
    </row>
    <row r="446" spans="1:14" x14ac:dyDescent="0.25">
      <c r="A446" t="s">
        <v>63</v>
      </c>
      <c r="B446" s="1" t="s">
        <v>195</v>
      </c>
      <c r="C446" t="s">
        <v>299</v>
      </c>
      <c r="D446" s="1" t="s">
        <v>87</v>
      </c>
      <c r="E446" t="s">
        <v>432</v>
      </c>
      <c r="F446" t="s">
        <v>432</v>
      </c>
      <c r="G446">
        <v>28.056909560000001</v>
      </c>
      <c r="H446">
        <v>31.123285289999998</v>
      </c>
      <c r="I446">
        <v>35.180217740000003</v>
      </c>
      <c r="J446">
        <v>47.402530669999997</v>
      </c>
      <c r="K446">
        <v>34.788036349999999</v>
      </c>
      <c r="L446">
        <v>48.033527370000002</v>
      </c>
      <c r="M446">
        <v>72.755828859999994</v>
      </c>
      <c r="N446" t="s">
        <v>432</v>
      </c>
    </row>
    <row r="447" spans="1:14" x14ac:dyDescent="0.25">
      <c r="A447" t="s">
        <v>63</v>
      </c>
      <c r="B447" s="1" t="s">
        <v>195</v>
      </c>
      <c r="C447" t="s">
        <v>289</v>
      </c>
      <c r="D447" s="1" t="s">
        <v>185</v>
      </c>
      <c r="E447">
        <v>39.756999999999998</v>
      </c>
      <c r="F447">
        <v>36.72</v>
      </c>
      <c r="G447">
        <v>35.350999999999999</v>
      </c>
      <c r="H447">
        <v>51.905000000000001</v>
      </c>
      <c r="I447">
        <v>58.128999999999998</v>
      </c>
      <c r="J447">
        <v>57.648000000000003</v>
      </c>
      <c r="K447">
        <v>57.046999999999997</v>
      </c>
      <c r="L447">
        <v>57.203000000000003</v>
      </c>
      <c r="M447">
        <v>57.616999999999997</v>
      </c>
      <c r="N447" t="s">
        <v>432</v>
      </c>
    </row>
    <row r="448" spans="1:14" x14ac:dyDescent="0.25">
      <c r="A448" t="s">
        <v>305</v>
      </c>
      <c r="B448" s="1" t="s">
        <v>298</v>
      </c>
      <c r="C448" t="s">
        <v>299</v>
      </c>
      <c r="D448" s="1" t="s">
        <v>87</v>
      </c>
      <c r="E448">
        <v>2383.8530273400002</v>
      </c>
      <c r="F448">
        <v>2378.1359863299999</v>
      </c>
      <c r="G448">
        <v>2564.5583496099998</v>
      </c>
      <c r="H448">
        <v>2784.1630859400002</v>
      </c>
      <c r="I448">
        <v>2756.62109375</v>
      </c>
      <c r="J448">
        <v>2942.4194335900002</v>
      </c>
      <c r="K448">
        <v>3188.8515625</v>
      </c>
      <c r="L448">
        <v>2948.6147460900002</v>
      </c>
      <c r="M448">
        <v>3106.6201171900002</v>
      </c>
      <c r="N448" t="s">
        <v>432</v>
      </c>
    </row>
    <row r="449" spans="1:14" x14ac:dyDescent="0.25">
      <c r="A449" t="s">
        <v>305</v>
      </c>
      <c r="B449" s="1" t="s">
        <v>298</v>
      </c>
      <c r="C449" t="s">
        <v>289</v>
      </c>
      <c r="D449" s="1" t="s">
        <v>185</v>
      </c>
      <c r="E449">
        <v>82.831707317073182</v>
      </c>
      <c r="F449">
        <v>83.329268292682926</v>
      </c>
      <c r="G449">
        <v>83.282926829268291</v>
      </c>
      <c r="H449">
        <v>83.43170731707319</v>
      </c>
      <c r="I449">
        <v>83.831707317073182</v>
      </c>
      <c r="J449">
        <v>82.231707317073173</v>
      </c>
      <c r="K449">
        <v>83.178048780487799</v>
      </c>
      <c r="L449">
        <v>83.134146341463421</v>
      </c>
      <c r="M449">
        <v>83.8829268292683</v>
      </c>
      <c r="N449" t="s">
        <v>432</v>
      </c>
    </row>
    <row r="450" spans="1:14" x14ac:dyDescent="0.25">
      <c r="A450" t="s">
        <v>103</v>
      </c>
      <c r="B450" s="1" t="s">
        <v>307</v>
      </c>
      <c r="C450" t="s">
        <v>299</v>
      </c>
      <c r="D450" s="1" t="s">
        <v>87</v>
      </c>
      <c r="E450">
        <v>144.29077147999999</v>
      </c>
      <c r="F450">
        <v>145.32496642999999</v>
      </c>
      <c r="G450">
        <v>142.32518005</v>
      </c>
      <c r="H450">
        <v>154.64622498</v>
      </c>
      <c r="I450">
        <v>147.01193237000001</v>
      </c>
      <c r="J450">
        <v>159.71383667000001</v>
      </c>
      <c r="K450">
        <v>202.75497437000001</v>
      </c>
      <c r="L450">
        <v>130.09327698000001</v>
      </c>
      <c r="M450">
        <v>134.23654174999999</v>
      </c>
      <c r="N450" t="s">
        <v>432</v>
      </c>
    </row>
    <row r="451" spans="1:14" x14ac:dyDescent="0.25">
      <c r="A451" t="s">
        <v>103</v>
      </c>
      <c r="B451" s="1" t="s">
        <v>307</v>
      </c>
      <c r="C451" t="s">
        <v>289</v>
      </c>
      <c r="D451" s="1" t="s">
        <v>185</v>
      </c>
      <c r="E451">
        <v>75.989999999999995</v>
      </c>
      <c r="F451">
        <v>76.135999999999996</v>
      </c>
      <c r="G451">
        <v>76.239000000000004</v>
      </c>
      <c r="H451">
        <v>76.484999999999999</v>
      </c>
      <c r="I451">
        <v>76.697999999999993</v>
      </c>
      <c r="J451">
        <v>76.927999999999997</v>
      </c>
      <c r="K451">
        <v>76.278000000000006</v>
      </c>
      <c r="L451">
        <v>77.3</v>
      </c>
      <c r="M451">
        <v>77.483000000000004</v>
      </c>
      <c r="N451" t="s">
        <v>432</v>
      </c>
    </row>
    <row r="452" spans="1:14" x14ac:dyDescent="0.25">
      <c r="A452" t="s">
        <v>330</v>
      </c>
      <c r="B452" s="1" t="s">
        <v>409</v>
      </c>
      <c r="C452" t="s">
        <v>299</v>
      </c>
      <c r="D452" s="1" t="s">
        <v>87</v>
      </c>
      <c r="E452">
        <v>1042.1506347699999</v>
      </c>
      <c r="F452">
        <v>1161.8709716799999</v>
      </c>
      <c r="G452">
        <v>1186.4266357399999</v>
      </c>
      <c r="H452">
        <v>1121.1397705100001</v>
      </c>
      <c r="I452">
        <v>1224.18933105</v>
      </c>
      <c r="J452">
        <v>1067.84997559</v>
      </c>
      <c r="K452">
        <v>1132.5844726600001</v>
      </c>
      <c r="L452">
        <v>1161.22058105</v>
      </c>
      <c r="M452">
        <v>1294.8839111299999</v>
      </c>
      <c r="N452" t="s">
        <v>432</v>
      </c>
    </row>
    <row r="453" spans="1:14" x14ac:dyDescent="0.25">
      <c r="A453" t="s">
        <v>330</v>
      </c>
      <c r="B453" s="1" t="s">
        <v>409</v>
      </c>
      <c r="C453" t="s">
        <v>289</v>
      </c>
      <c r="D453" s="1" t="s">
        <v>185</v>
      </c>
      <c r="E453">
        <v>71.210999999999999</v>
      </c>
      <c r="F453">
        <v>71.227000000000004</v>
      </c>
      <c r="G453">
        <v>71.284000000000006</v>
      </c>
      <c r="H453">
        <v>71.335999999999999</v>
      </c>
      <c r="I453">
        <v>71.540000000000006</v>
      </c>
      <c r="J453">
        <v>71.180999999999997</v>
      </c>
      <c r="K453">
        <v>69.271000000000001</v>
      </c>
      <c r="L453">
        <v>70.313000000000002</v>
      </c>
      <c r="M453">
        <v>72.144999999999996</v>
      </c>
      <c r="N453" t="s">
        <v>432</v>
      </c>
    </row>
    <row r="454" spans="1:14" x14ac:dyDescent="0.25">
      <c r="A454" t="s">
        <v>1</v>
      </c>
      <c r="B454" s="1" t="s">
        <v>339</v>
      </c>
      <c r="C454" t="s">
        <v>299</v>
      </c>
      <c r="D454" s="1" t="s">
        <v>87</v>
      </c>
      <c r="E454">
        <v>473.24108887</v>
      </c>
      <c r="F454">
        <v>479.87448119999999</v>
      </c>
      <c r="G454">
        <v>504.96411132999998</v>
      </c>
      <c r="H454">
        <v>497.48629761000001</v>
      </c>
      <c r="I454">
        <v>506.03204346000001</v>
      </c>
      <c r="J454">
        <v>589.63696288999995</v>
      </c>
      <c r="K454">
        <v>654.89184569999998</v>
      </c>
      <c r="L454">
        <v>622.07244873000002</v>
      </c>
      <c r="M454">
        <v>641.07495116999996</v>
      </c>
      <c r="N454" t="s">
        <v>432</v>
      </c>
    </row>
    <row r="455" spans="1:14" x14ac:dyDescent="0.25">
      <c r="A455" t="s">
        <v>1</v>
      </c>
      <c r="B455" s="1" t="s">
        <v>339</v>
      </c>
      <c r="C455" t="s">
        <v>289</v>
      </c>
      <c r="D455" s="1" t="s">
        <v>185</v>
      </c>
      <c r="E455">
        <v>72.932000000000002</v>
      </c>
      <c r="F455">
        <v>72.552000000000007</v>
      </c>
      <c r="G455">
        <v>72.522000000000006</v>
      </c>
      <c r="H455">
        <v>72.655000000000001</v>
      </c>
      <c r="I455">
        <v>72.248999999999995</v>
      </c>
      <c r="J455">
        <v>72.308000000000007</v>
      </c>
      <c r="K455">
        <v>69.119</v>
      </c>
      <c r="L455">
        <v>72.67</v>
      </c>
      <c r="M455">
        <v>72.697000000000003</v>
      </c>
      <c r="N455" t="s">
        <v>432</v>
      </c>
    </row>
    <row r="456" spans="1:14" x14ac:dyDescent="0.25">
      <c r="A456" t="s">
        <v>563</v>
      </c>
      <c r="B456" s="1" t="s">
        <v>564</v>
      </c>
      <c r="C456" t="s">
        <v>299</v>
      </c>
      <c r="D456" s="1" t="s">
        <v>87</v>
      </c>
      <c r="E456" t="s">
        <v>432</v>
      </c>
      <c r="F456" t="s">
        <v>432</v>
      </c>
      <c r="G456" t="s">
        <v>432</v>
      </c>
      <c r="H456" t="s">
        <v>432</v>
      </c>
      <c r="I456" t="s">
        <v>432</v>
      </c>
      <c r="J456" t="s">
        <v>432</v>
      </c>
      <c r="K456" t="s">
        <v>432</v>
      </c>
      <c r="L456" t="s">
        <v>432</v>
      </c>
      <c r="M456" t="s">
        <v>432</v>
      </c>
      <c r="N456" t="s">
        <v>432</v>
      </c>
    </row>
    <row r="457" spans="1:14" x14ac:dyDescent="0.25">
      <c r="A457" t="s">
        <v>563</v>
      </c>
      <c r="B457" s="1" t="s">
        <v>564</v>
      </c>
      <c r="C457" t="s">
        <v>289</v>
      </c>
      <c r="D457" s="1" t="s">
        <v>185</v>
      </c>
      <c r="E457">
        <v>79.828999999999994</v>
      </c>
      <c r="F457">
        <v>79.885000000000005</v>
      </c>
      <c r="G457">
        <v>78.762</v>
      </c>
      <c r="H457">
        <v>80.028999999999996</v>
      </c>
      <c r="I457">
        <v>80.078000000000003</v>
      </c>
      <c r="J457">
        <v>80.084999999999994</v>
      </c>
      <c r="K457">
        <v>80.206000000000003</v>
      </c>
      <c r="L457">
        <v>80.236000000000004</v>
      </c>
      <c r="M457">
        <v>80.224000000000004</v>
      </c>
      <c r="N457" t="s">
        <v>432</v>
      </c>
    </row>
    <row r="458" spans="1:14" x14ac:dyDescent="0.25">
      <c r="A458" t="s">
        <v>329</v>
      </c>
      <c r="B458" s="1" t="s">
        <v>221</v>
      </c>
      <c r="C458" t="s">
        <v>299</v>
      </c>
      <c r="D458" s="1" t="s">
        <v>87</v>
      </c>
      <c r="E458">
        <v>302.58422852000001</v>
      </c>
      <c r="F458">
        <v>313.66229248000002</v>
      </c>
      <c r="G458">
        <v>337.89614868000001</v>
      </c>
      <c r="H458">
        <v>358.53372192</v>
      </c>
      <c r="I458">
        <v>372.05615233999998</v>
      </c>
      <c r="J458">
        <v>406.35711670000001</v>
      </c>
      <c r="K458">
        <v>454.78472900000003</v>
      </c>
      <c r="L458">
        <v>437.94085693</v>
      </c>
      <c r="M458">
        <v>469.20709228999999</v>
      </c>
      <c r="N458" t="s">
        <v>432</v>
      </c>
    </row>
    <row r="459" spans="1:14" x14ac:dyDescent="0.25">
      <c r="A459" t="s">
        <v>329</v>
      </c>
      <c r="B459" s="1" t="s">
        <v>221</v>
      </c>
      <c r="C459" t="s">
        <v>289</v>
      </c>
      <c r="D459" s="1" t="s">
        <v>185</v>
      </c>
      <c r="E459">
        <v>70.462999999999994</v>
      </c>
      <c r="F459">
        <v>70.7</v>
      </c>
      <c r="G459">
        <v>71.013000000000005</v>
      </c>
      <c r="H459">
        <v>71.016999999999996</v>
      </c>
      <c r="I459">
        <v>70.994</v>
      </c>
      <c r="J459">
        <v>69.605000000000004</v>
      </c>
      <c r="K459">
        <v>69.132000000000005</v>
      </c>
      <c r="L459">
        <v>71.191000000000003</v>
      </c>
      <c r="M459">
        <v>71.23</v>
      </c>
      <c r="N459" t="s">
        <v>432</v>
      </c>
    </row>
    <row r="460" spans="1:14" x14ac:dyDescent="0.25">
      <c r="A460" t="s">
        <v>565</v>
      </c>
      <c r="B460" s="1" t="s">
        <v>566</v>
      </c>
      <c r="C460" t="s">
        <v>299</v>
      </c>
      <c r="D460" s="1" t="s">
        <v>87</v>
      </c>
      <c r="E460">
        <v>82.513781315448583</v>
      </c>
      <c r="F460">
        <v>75.801199738869059</v>
      </c>
      <c r="G460">
        <v>77.077522183963694</v>
      </c>
      <c r="H460">
        <v>76.247293051512827</v>
      </c>
      <c r="I460">
        <v>75.744562130036442</v>
      </c>
      <c r="J460">
        <v>74.617161109039102</v>
      </c>
      <c r="K460">
        <v>84.359470788381984</v>
      </c>
      <c r="L460">
        <v>84.916034650237407</v>
      </c>
      <c r="M460">
        <v>79.348468474450158</v>
      </c>
      <c r="N460" t="s">
        <v>432</v>
      </c>
    </row>
    <row r="461" spans="1:14" x14ac:dyDescent="0.25">
      <c r="A461" t="s">
        <v>565</v>
      </c>
      <c r="B461" s="1" t="s">
        <v>566</v>
      </c>
      <c r="C461" t="s">
        <v>289</v>
      </c>
      <c r="D461" s="1" t="s">
        <v>185</v>
      </c>
      <c r="E461">
        <v>59.39872146619102</v>
      </c>
      <c r="F461">
        <v>59.81210019781382</v>
      </c>
      <c r="G461">
        <v>60.158401534106559</v>
      </c>
      <c r="H461">
        <v>60.766727513670908</v>
      </c>
      <c r="I461">
        <v>61.129321842487258</v>
      </c>
      <c r="J461">
        <v>61.167527082990169</v>
      </c>
      <c r="K461">
        <v>60.703436366067223</v>
      </c>
      <c r="L461">
        <v>61.857179589480218</v>
      </c>
      <c r="M461">
        <v>62.602807153695146</v>
      </c>
      <c r="N461" t="s">
        <v>432</v>
      </c>
    </row>
    <row r="462" spans="1:14" x14ac:dyDescent="0.25">
      <c r="A462" t="s">
        <v>567</v>
      </c>
      <c r="B462" s="1" t="s">
        <v>568</v>
      </c>
      <c r="C462" t="s">
        <v>299</v>
      </c>
      <c r="D462" s="1" t="s">
        <v>87</v>
      </c>
      <c r="E462">
        <v>89.230681013699183</v>
      </c>
      <c r="F462">
        <v>81.612786523507225</v>
      </c>
      <c r="G462">
        <v>82.992262511297966</v>
      </c>
      <c r="H462">
        <v>82.145092415181253</v>
      </c>
      <c r="I462">
        <v>81.319914953135665</v>
      </c>
      <c r="J462">
        <v>79.809160174602425</v>
      </c>
      <c r="K462">
        <v>90.921044535094026</v>
      </c>
      <c r="L462">
        <v>91.420096817812706</v>
      </c>
      <c r="M462">
        <v>84.34453018829106</v>
      </c>
      <c r="N462" t="s">
        <v>432</v>
      </c>
    </row>
    <row r="463" spans="1:14" x14ac:dyDescent="0.25">
      <c r="A463" t="s">
        <v>567</v>
      </c>
      <c r="B463" s="1" t="s">
        <v>568</v>
      </c>
      <c r="C463" t="s">
        <v>289</v>
      </c>
      <c r="D463" s="1" t="s">
        <v>185</v>
      </c>
      <c r="E463">
        <v>58.924456936224871</v>
      </c>
      <c r="F463">
        <v>59.319943387551284</v>
      </c>
      <c r="G463">
        <v>59.636711594011636</v>
      </c>
      <c r="H463">
        <v>60.258261038545335</v>
      </c>
      <c r="I463">
        <v>60.606591289507584</v>
      </c>
      <c r="J463">
        <v>60.622229425685369</v>
      </c>
      <c r="K463">
        <v>60.177474649485816</v>
      </c>
      <c r="L463">
        <v>61.283353599295715</v>
      </c>
      <c r="M463">
        <v>62.065355547615461</v>
      </c>
      <c r="N463" t="s">
        <v>432</v>
      </c>
    </row>
    <row r="464" spans="1:14" x14ac:dyDescent="0.25">
      <c r="A464" t="s">
        <v>569</v>
      </c>
      <c r="B464" s="1" t="s">
        <v>570</v>
      </c>
      <c r="C464" t="s">
        <v>299</v>
      </c>
      <c r="D464" s="1" t="s">
        <v>87</v>
      </c>
      <c r="E464">
        <v>82.513781315448611</v>
      </c>
      <c r="F464">
        <v>75.801199738869059</v>
      </c>
      <c r="G464">
        <v>77.07752218396368</v>
      </c>
      <c r="H464">
        <v>76.247293051512827</v>
      </c>
      <c r="I464">
        <v>75.744562130036442</v>
      </c>
      <c r="J464">
        <v>74.617161109039074</v>
      </c>
      <c r="K464">
        <v>84.359470788381998</v>
      </c>
      <c r="L464">
        <v>84.916034650237407</v>
      </c>
      <c r="M464">
        <v>79.348468474450172</v>
      </c>
      <c r="N464" t="s">
        <v>432</v>
      </c>
    </row>
    <row r="465" spans="1:14" x14ac:dyDescent="0.25">
      <c r="A465" t="s">
        <v>569</v>
      </c>
      <c r="B465" s="1" t="s">
        <v>570</v>
      </c>
      <c r="C465" t="s">
        <v>289</v>
      </c>
      <c r="D465" s="1" t="s">
        <v>185</v>
      </c>
      <c r="E465">
        <v>59.398721466191013</v>
      </c>
      <c r="F465">
        <v>59.81210019781382</v>
      </c>
      <c r="G465">
        <v>60.158401534106545</v>
      </c>
      <c r="H465">
        <v>60.766727513670908</v>
      </c>
      <c r="I465">
        <v>61.129321842487258</v>
      </c>
      <c r="J465">
        <v>61.167527082990169</v>
      </c>
      <c r="K465">
        <v>60.703436366067223</v>
      </c>
      <c r="L465">
        <v>61.857179589480218</v>
      </c>
      <c r="M465">
        <v>62.602807153695146</v>
      </c>
      <c r="N465" t="s">
        <v>432</v>
      </c>
    </row>
    <row r="466" spans="1:14" x14ac:dyDescent="0.25">
      <c r="A466" t="s">
        <v>76</v>
      </c>
      <c r="B466" s="1" t="s">
        <v>74</v>
      </c>
      <c r="C466" t="s">
        <v>299</v>
      </c>
      <c r="D466" s="1" t="s">
        <v>87</v>
      </c>
      <c r="E466">
        <v>93.696571349999999</v>
      </c>
      <c r="F466">
        <v>89.396339420000004</v>
      </c>
      <c r="G466">
        <v>67.754768369999994</v>
      </c>
      <c r="H466">
        <v>33.883666990000002</v>
      </c>
      <c r="I466">
        <v>31.794069289999999</v>
      </c>
      <c r="J466">
        <v>22.918615339999999</v>
      </c>
      <c r="K466">
        <v>21.691410059999999</v>
      </c>
      <c r="L466">
        <v>25.75139618</v>
      </c>
      <c r="M466">
        <v>21.0830822</v>
      </c>
      <c r="N466" t="s">
        <v>432</v>
      </c>
    </row>
    <row r="467" spans="1:14" x14ac:dyDescent="0.25">
      <c r="A467" t="s">
        <v>76</v>
      </c>
      <c r="B467" s="1" t="s">
        <v>74</v>
      </c>
      <c r="C467" t="s">
        <v>289</v>
      </c>
      <c r="D467" s="1" t="s">
        <v>185</v>
      </c>
      <c r="E467">
        <v>64.375</v>
      </c>
      <c r="F467">
        <v>64.677000000000007</v>
      </c>
      <c r="G467">
        <v>65.146000000000001</v>
      </c>
      <c r="H467">
        <v>65.501000000000005</v>
      </c>
      <c r="I467">
        <v>65.802999999999997</v>
      </c>
      <c r="J467">
        <v>65.123999999999995</v>
      </c>
      <c r="K467">
        <v>64.459999999999994</v>
      </c>
      <c r="L467">
        <v>65.694999999999993</v>
      </c>
      <c r="M467">
        <v>66.331000000000003</v>
      </c>
      <c r="N467" t="s">
        <v>432</v>
      </c>
    </row>
    <row r="468" spans="1:14" x14ac:dyDescent="0.25">
      <c r="A468" t="s">
        <v>320</v>
      </c>
      <c r="B468" s="1" t="s">
        <v>277</v>
      </c>
      <c r="C468" t="s">
        <v>299</v>
      </c>
      <c r="D468" s="1" t="s">
        <v>87</v>
      </c>
      <c r="E468">
        <v>511.91244506999999</v>
      </c>
      <c r="F468">
        <v>338.24822998000002</v>
      </c>
      <c r="G468">
        <v>322.00415039000001</v>
      </c>
      <c r="H468">
        <v>440.32211303999998</v>
      </c>
      <c r="I468">
        <v>588.83825683999999</v>
      </c>
      <c r="J468">
        <v>409.86743164000001</v>
      </c>
      <c r="K468">
        <v>270.37786864999998</v>
      </c>
      <c r="L468">
        <v>344.74603271000001</v>
      </c>
      <c r="M468">
        <v>297.04589843999997</v>
      </c>
      <c r="N468" t="s">
        <v>432</v>
      </c>
    </row>
    <row r="469" spans="1:14" x14ac:dyDescent="0.25">
      <c r="A469" t="s">
        <v>320</v>
      </c>
      <c r="B469" s="1" t="s">
        <v>277</v>
      </c>
      <c r="C469" t="s">
        <v>289</v>
      </c>
      <c r="D469" s="1" t="s">
        <v>185</v>
      </c>
      <c r="E469">
        <v>70.566999999999993</v>
      </c>
      <c r="F469">
        <v>70.978999999999999</v>
      </c>
      <c r="G469">
        <v>71.247</v>
      </c>
      <c r="H469">
        <v>71.468000000000004</v>
      </c>
      <c r="I469">
        <v>71.772999999999996</v>
      </c>
      <c r="J469">
        <v>72.320999999999998</v>
      </c>
      <c r="K469">
        <v>68.942999999999998</v>
      </c>
      <c r="L469">
        <v>73.254000000000005</v>
      </c>
      <c r="M469">
        <v>73.631</v>
      </c>
      <c r="N469" t="s">
        <v>432</v>
      </c>
    </row>
    <row r="470" spans="1:14" x14ac:dyDescent="0.25">
      <c r="A470" t="s">
        <v>343</v>
      </c>
      <c r="B470" s="1" t="s">
        <v>295</v>
      </c>
      <c r="C470" t="s">
        <v>299</v>
      </c>
      <c r="D470" s="1" t="s">
        <v>87</v>
      </c>
      <c r="E470">
        <v>5626.0483398400002</v>
      </c>
      <c r="F470">
        <v>5719.4599609400002</v>
      </c>
      <c r="G470">
        <v>5871.5229492199996</v>
      </c>
      <c r="H470">
        <v>6042.1352539099998</v>
      </c>
      <c r="I470">
        <v>5688.0449218800004</v>
      </c>
      <c r="J470">
        <v>6030.5327148400002</v>
      </c>
      <c r="K470">
        <v>6894.2016601599998</v>
      </c>
      <c r="L470">
        <v>6022.3925781300004</v>
      </c>
      <c r="M470">
        <v>6206.23046875</v>
      </c>
      <c r="N470">
        <v>6484.7646484400002</v>
      </c>
    </row>
    <row r="471" spans="1:14" x14ac:dyDescent="0.25">
      <c r="A471" t="s">
        <v>343</v>
      </c>
      <c r="B471" s="1" t="s">
        <v>295</v>
      </c>
      <c r="C471" t="s">
        <v>289</v>
      </c>
      <c r="D471" s="1" t="s">
        <v>185</v>
      </c>
      <c r="E471">
        <v>82.2048780487805</v>
      </c>
      <c r="F471">
        <v>82.307317073170736</v>
      </c>
      <c r="G471">
        <v>82.409756097560987</v>
      </c>
      <c r="H471">
        <v>82.558536585365857</v>
      </c>
      <c r="I471">
        <v>83.109756097560989</v>
      </c>
      <c r="J471">
        <v>82.356097560975613</v>
      </c>
      <c r="K471">
        <v>83.056097560975616</v>
      </c>
      <c r="L471">
        <v>83.058536585365871</v>
      </c>
      <c r="M471">
        <v>83.309756097560992</v>
      </c>
      <c r="N471" t="s">
        <v>432</v>
      </c>
    </row>
    <row r="472" spans="1:14" x14ac:dyDescent="0.25">
      <c r="A472" t="s">
        <v>49</v>
      </c>
      <c r="B472" s="1" t="s">
        <v>156</v>
      </c>
      <c r="C472" t="s">
        <v>299</v>
      </c>
      <c r="D472" s="1" t="s">
        <v>87</v>
      </c>
      <c r="E472">
        <v>9200.1005859399993</v>
      </c>
      <c r="F472">
        <v>9201.4746093800004</v>
      </c>
      <c r="G472">
        <v>9354.2207031300004</v>
      </c>
      <c r="H472">
        <v>9541.07421875</v>
      </c>
      <c r="I472">
        <v>9609.8027343800004</v>
      </c>
      <c r="J472">
        <v>10294.578125</v>
      </c>
      <c r="K472">
        <v>11197.764648439999</v>
      </c>
      <c r="L472">
        <v>10930.139648439999</v>
      </c>
      <c r="M472">
        <v>11783.66992188</v>
      </c>
      <c r="N472" t="s">
        <v>432</v>
      </c>
    </row>
    <row r="473" spans="1:14" x14ac:dyDescent="0.25">
      <c r="A473" t="s">
        <v>49</v>
      </c>
      <c r="B473" s="1" t="s">
        <v>156</v>
      </c>
      <c r="C473" t="s">
        <v>289</v>
      </c>
      <c r="D473" s="1" t="s">
        <v>185</v>
      </c>
      <c r="E473">
        <v>82.897560975609764</v>
      </c>
      <c r="F473">
        <v>83.60243902439025</v>
      </c>
      <c r="G473">
        <v>83.551219512195118</v>
      </c>
      <c r="H473">
        <v>83.753658536585377</v>
      </c>
      <c r="I473">
        <v>83.904878048780489</v>
      </c>
      <c r="J473">
        <v>83</v>
      </c>
      <c r="K473">
        <v>83.751219512195135</v>
      </c>
      <c r="L473">
        <v>83.604878048780492</v>
      </c>
      <c r="M473">
        <v>84.056097560975616</v>
      </c>
      <c r="N473" t="s">
        <v>432</v>
      </c>
    </row>
    <row r="474" spans="1:14" x14ac:dyDescent="0.25">
      <c r="A474" t="s">
        <v>571</v>
      </c>
      <c r="B474" s="1" t="s">
        <v>572</v>
      </c>
      <c r="C474" t="s">
        <v>299</v>
      </c>
      <c r="D474" s="1" t="s">
        <v>87</v>
      </c>
      <c r="E474">
        <v>38.178714749999997</v>
      </c>
      <c r="F474">
        <v>27.40652657</v>
      </c>
      <c r="G474">
        <v>35.571048740000002</v>
      </c>
      <c r="H474">
        <v>46.24067307</v>
      </c>
      <c r="I474">
        <v>55.2208252</v>
      </c>
      <c r="J474">
        <v>37.03173065</v>
      </c>
      <c r="K474">
        <v>53.472618099999998</v>
      </c>
      <c r="L474">
        <v>53.264865880000002</v>
      </c>
      <c r="M474">
        <v>33.34017944</v>
      </c>
      <c r="N474" t="s">
        <v>432</v>
      </c>
    </row>
    <row r="475" spans="1:14" x14ac:dyDescent="0.25">
      <c r="A475" t="s">
        <v>571</v>
      </c>
      <c r="B475" s="1" t="s">
        <v>572</v>
      </c>
      <c r="C475" t="s">
        <v>289</v>
      </c>
      <c r="D475" s="1" t="s">
        <v>185</v>
      </c>
      <c r="E475">
        <v>63.265000000000001</v>
      </c>
      <c r="F475">
        <v>65.19</v>
      </c>
      <c r="G475">
        <v>65.650999999999996</v>
      </c>
      <c r="H475">
        <v>67.370999999999995</v>
      </c>
      <c r="I475">
        <v>70.97</v>
      </c>
      <c r="J475">
        <v>71.944000000000003</v>
      </c>
      <c r="K475">
        <v>72.418000000000006</v>
      </c>
      <c r="L475">
        <v>72.790000000000006</v>
      </c>
      <c r="M475">
        <v>72.12</v>
      </c>
      <c r="N475" t="s">
        <v>432</v>
      </c>
    </row>
    <row r="476" spans="1:14" x14ac:dyDescent="0.25">
      <c r="A476" t="s">
        <v>119</v>
      </c>
      <c r="B476" s="1" t="s">
        <v>147</v>
      </c>
      <c r="C476" t="s">
        <v>299</v>
      </c>
      <c r="D476" s="1" t="s">
        <v>87</v>
      </c>
      <c r="E476">
        <v>62.758049010000001</v>
      </c>
      <c r="F476">
        <v>54.921356199999998</v>
      </c>
      <c r="G476">
        <v>56.850925449999998</v>
      </c>
      <c r="H476">
        <v>58.515399930000001</v>
      </c>
      <c r="I476">
        <v>60.515682220000002</v>
      </c>
      <c r="J476">
        <v>74.173294069999997</v>
      </c>
      <c r="K476">
        <v>75.103157039999999</v>
      </c>
      <c r="L476">
        <v>78.613265990000002</v>
      </c>
      <c r="M476">
        <v>85.147026060000002</v>
      </c>
      <c r="N476" t="s">
        <v>432</v>
      </c>
    </row>
    <row r="477" spans="1:14" x14ac:dyDescent="0.25">
      <c r="A477" t="s">
        <v>119</v>
      </c>
      <c r="B477" s="1" t="s">
        <v>147</v>
      </c>
      <c r="C477" t="s">
        <v>289</v>
      </c>
      <c r="D477" s="1" t="s">
        <v>185</v>
      </c>
      <c r="E477">
        <v>69.665000000000006</v>
      </c>
      <c r="F477">
        <v>69.981999999999999</v>
      </c>
      <c r="G477">
        <v>70.524000000000001</v>
      </c>
      <c r="H477">
        <v>70.736999999999995</v>
      </c>
      <c r="I477">
        <v>70.962000000000003</v>
      </c>
      <c r="J477">
        <v>68.605000000000004</v>
      </c>
      <c r="K477">
        <v>69.593999999999994</v>
      </c>
      <c r="L477">
        <v>71.561999999999998</v>
      </c>
      <c r="M477">
        <v>71.790000000000006</v>
      </c>
      <c r="N477" t="s">
        <v>432</v>
      </c>
    </row>
    <row r="478" spans="1:14" x14ac:dyDescent="0.25">
      <c r="A478" t="s">
        <v>139</v>
      </c>
      <c r="B478" s="1" t="s">
        <v>362</v>
      </c>
      <c r="C478" t="s">
        <v>299</v>
      </c>
      <c r="D478" s="1" t="s">
        <v>87</v>
      </c>
      <c r="E478">
        <v>33.271842960000001</v>
      </c>
      <c r="F478">
        <v>36.652675629999997</v>
      </c>
      <c r="G478">
        <v>39.037670140000003</v>
      </c>
      <c r="H478">
        <v>41.271713259999999</v>
      </c>
      <c r="I478">
        <v>39.977836609999997</v>
      </c>
      <c r="J478">
        <v>31.703617099999999</v>
      </c>
      <c r="K478">
        <v>37.531211849999998</v>
      </c>
      <c r="L478">
        <v>35.93323135</v>
      </c>
      <c r="M478">
        <v>36.256198879999999</v>
      </c>
      <c r="N478" t="s">
        <v>432</v>
      </c>
    </row>
    <row r="479" spans="1:14" x14ac:dyDescent="0.25">
      <c r="A479" t="s">
        <v>139</v>
      </c>
      <c r="B479" s="1" t="s">
        <v>362</v>
      </c>
      <c r="C479" t="s">
        <v>289</v>
      </c>
      <c r="D479" s="1" t="s">
        <v>185</v>
      </c>
      <c r="E479">
        <v>63.927999999999997</v>
      </c>
      <c r="F479">
        <v>64.403999999999996</v>
      </c>
      <c r="G479">
        <v>64.962999999999994</v>
      </c>
      <c r="H479">
        <v>65.488</v>
      </c>
      <c r="I479">
        <v>66.007000000000005</v>
      </c>
      <c r="J479">
        <v>66.771000000000001</v>
      </c>
      <c r="K479">
        <v>66.131</v>
      </c>
      <c r="L479">
        <v>66.879000000000005</v>
      </c>
      <c r="M479">
        <v>66.995000000000005</v>
      </c>
      <c r="N479" t="s">
        <v>432</v>
      </c>
    </row>
    <row r="480" spans="1:14" x14ac:dyDescent="0.25">
      <c r="A480" t="s">
        <v>412</v>
      </c>
      <c r="B480" s="1" t="s">
        <v>263</v>
      </c>
      <c r="C480" t="s">
        <v>299</v>
      </c>
      <c r="D480" s="1" t="s">
        <v>87</v>
      </c>
      <c r="E480">
        <v>219.15092468</v>
      </c>
      <c r="F480">
        <v>229.7849884</v>
      </c>
      <c r="G480">
        <v>247.08152770999999</v>
      </c>
      <c r="H480">
        <v>274.71221924000002</v>
      </c>
      <c r="I480">
        <v>288.31097412000003</v>
      </c>
      <c r="J480">
        <v>304.38177489999998</v>
      </c>
      <c r="K480">
        <v>363.72845459000001</v>
      </c>
      <c r="L480">
        <v>369.97647095000002</v>
      </c>
      <c r="M480">
        <v>326.50482177999999</v>
      </c>
      <c r="N480" t="s">
        <v>432</v>
      </c>
    </row>
    <row r="481" spans="1:14" x14ac:dyDescent="0.25">
      <c r="A481" t="s">
        <v>412</v>
      </c>
      <c r="B481" s="1" t="s">
        <v>263</v>
      </c>
      <c r="C481" t="s">
        <v>289</v>
      </c>
      <c r="D481" s="1" t="s">
        <v>185</v>
      </c>
      <c r="E481">
        <v>76.563000000000002</v>
      </c>
      <c r="F481">
        <v>76.769000000000005</v>
      </c>
      <c r="G481">
        <v>76.989000000000004</v>
      </c>
      <c r="H481">
        <v>77.19</v>
      </c>
      <c r="I481">
        <v>77.197000000000003</v>
      </c>
      <c r="J481">
        <v>77.331000000000003</v>
      </c>
      <c r="K481">
        <v>77.605999999999995</v>
      </c>
      <c r="L481">
        <v>75.290999999999997</v>
      </c>
      <c r="M481">
        <v>76.412000000000006</v>
      </c>
      <c r="N481" t="s">
        <v>432</v>
      </c>
    </row>
    <row r="482" spans="1:14" x14ac:dyDescent="0.25">
      <c r="A482" t="s">
        <v>24</v>
      </c>
      <c r="B482" s="1" t="s">
        <v>264</v>
      </c>
      <c r="C482" t="s">
        <v>299</v>
      </c>
      <c r="D482" s="1" t="s">
        <v>87</v>
      </c>
      <c r="E482">
        <v>101.4779892</v>
      </c>
      <c r="F482">
        <v>92.694007869999993</v>
      </c>
      <c r="G482">
        <v>86.162696839999995</v>
      </c>
      <c r="H482">
        <v>78.074134830000006</v>
      </c>
      <c r="I482">
        <v>78.013465879999998</v>
      </c>
      <c r="J482">
        <v>118.49451447</v>
      </c>
      <c r="K482">
        <v>132.07870482999999</v>
      </c>
      <c r="L482">
        <v>174.91529846</v>
      </c>
      <c r="M482">
        <v>144.21452332000001</v>
      </c>
      <c r="N482" t="s">
        <v>432</v>
      </c>
    </row>
    <row r="483" spans="1:14" x14ac:dyDescent="0.25">
      <c r="A483" t="s">
        <v>24</v>
      </c>
      <c r="B483" s="1" t="s">
        <v>264</v>
      </c>
      <c r="C483" t="s">
        <v>289</v>
      </c>
      <c r="D483" s="1" t="s">
        <v>185</v>
      </c>
      <c r="E483">
        <v>65.325999999999993</v>
      </c>
      <c r="F483">
        <v>65.61</v>
      </c>
      <c r="G483">
        <v>65.897999999999996</v>
      </c>
      <c r="H483">
        <v>66.203999999999994</v>
      </c>
      <c r="I483">
        <v>66.495999999999995</v>
      </c>
      <c r="J483">
        <v>66.918999999999997</v>
      </c>
      <c r="K483">
        <v>66.198999999999998</v>
      </c>
      <c r="L483">
        <v>67.367999999999995</v>
      </c>
      <c r="M483">
        <v>67.688999999999993</v>
      </c>
      <c r="N483" t="s">
        <v>432</v>
      </c>
    </row>
    <row r="484" spans="1:14" x14ac:dyDescent="0.25">
      <c r="A484" t="s">
        <v>101</v>
      </c>
      <c r="B484" s="1" t="s">
        <v>222</v>
      </c>
      <c r="C484" t="s">
        <v>299</v>
      </c>
      <c r="D484" s="1" t="s">
        <v>87</v>
      </c>
      <c r="E484">
        <v>46.921108250000003</v>
      </c>
      <c r="F484">
        <v>50.878349299999996</v>
      </c>
      <c r="G484">
        <v>51.546459200000001</v>
      </c>
      <c r="H484">
        <v>52.43610382</v>
      </c>
      <c r="I484">
        <v>48.853874210000001</v>
      </c>
      <c r="J484">
        <v>52.752132420000002</v>
      </c>
      <c r="K484">
        <v>52.722370150000003</v>
      </c>
      <c r="L484">
        <v>55.795455930000003</v>
      </c>
      <c r="M484">
        <v>59.605037690000003</v>
      </c>
      <c r="N484" t="s">
        <v>432</v>
      </c>
    </row>
    <row r="485" spans="1:14" x14ac:dyDescent="0.25">
      <c r="A485" t="s">
        <v>101</v>
      </c>
      <c r="B485" s="1" t="s">
        <v>222</v>
      </c>
      <c r="C485" t="s">
        <v>289</v>
      </c>
      <c r="D485" s="1" t="s">
        <v>185</v>
      </c>
      <c r="E485">
        <v>59.22</v>
      </c>
      <c r="F485">
        <v>59.668999999999997</v>
      </c>
      <c r="G485">
        <v>60.134999999999998</v>
      </c>
      <c r="H485">
        <v>60.600999999999999</v>
      </c>
      <c r="I485">
        <v>61.055</v>
      </c>
      <c r="J485">
        <v>61.122999999999998</v>
      </c>
      <c r="K485">
        <v>61.328000000000003</v>
      </c>
      <c r="L485">
        <v>62.29</v>
      </c>
      <c r="M485">
        <v>62.738999999999997</v>
      </c>
      <c r="N485" t="s">
        <v>432</v>
      </c>
    </row>
    <row r="486" spans="1:14" x14ac:dyDescent="0.25">
      <c r="A486" t="s">
        <v>354</v>
      </c>
      <c r="B486" s="1" t="s">
        <v>296</v>
      </c>
      <c r="C486" t="s">
        <v>299</v>
      </c>
      <c r="D486" s="1" t="s">
        <v>87</v>
      </c>
      <c r="E486">
        <v>181.91452025999999</v>
      </c>
      <c r="F486">
        <v>208.53982543999999</v>
      </c>
      <c r="G486">
        <v>246.34036255000001</v>
      </c>
      <c r="H486">
        <v>278.49508666999998</v>
      </c>
      <c r="I486">
        <v>266.68792724999997</v>
      </c>
      <c r="J486">
        <v>262.55459595000002</v>
      </c>
      <c r="K486">
        <v>348.79745482999999</v>
      </c>
      <c r="L486">
        <v>382.79116821000002</v>
      </c>
      <c r="M486">
        <v>357.54415893999999</v>
      </c>
      <c r="N486" t="s">
        <v>432</v>
      </c>
    </row>
    <row r="487" spans="1:14" x14ac:dyDescent="0.25">
      <c r="A487" t="s">
        <v>354</v>
      </c>
      <c r="B487" s="1" t="s">
        <v>296</v>
      </c>
      <c r="C487" t="s">
        <v>289</v>
      </c>
      <c r="D487" s="1" t="s">
        <v>185</v>
      </c>
      <c r="E487">
        <v>71.850999999999999</v>
      </c>
      <c r="F487">
        <v>71.950999999999993</v>
      </c>
      <c r="G487">
        <v>72.066000000000003</v>
      </c>
      <c r="H487">
        <v>72.168999999999997</v>
      </c>
      <c r="I487">
        <v>72.292000000000002</v>
      </c>
      <c r="J487">
        <v>72.379000000000005</v>
      </c>
      <c r="K487">
        <v>72.13</v>
      </c>
      <c r="L487">
        <v>72.635000000000005</v>
      </c>
      <c r="M487">
        <v>72.894999999999996</v>
      </c>
      <c r="N487" t="s">
        <v>432</v>
      </c>
    </row>
    <row r="488" spans="1:14" x14ac:dyDescent="0.25">
      <c r="A488" t="s">
        <v>371</v>
      </c>
      <c r="B488" s="1" t="s">
        <v>43</v>
      </c>
      <c r="C488" t="s">
        <v>299</v>
      </c>
      <c r="D488" s="1" t="s">
        <v>87</v>
      </c>
      <c r="E488">
        <v>1061.5866699200001</v>
      </c>
      <c r="F488">
        <v>1064.4177246100001</v>
      </c>
      <c r="G488">
        <v>1083.3760986299999</v>
      </c>
      <c r="H488">
        <v>1080.4539794899999</v>
      </c>
      <c r="I488">
        <v>1097.2055664100001</v>
      </c>
      <c r="J488">
        <v>1059.7258300799999</v>
      </c>
      <c r="K488">
        <v>1170.9385986299999</v>
      </c>
      <c r="L488">
        <v>1266.2882080100001</v>
      </c>
      <c r="M488">
        <v>1276.33862305</v>
      </c>
      <c r="N488" t="s">
        <v>432</v>
      </c>
    </row>
    <row r="489" spans="1:14" x14ac:dyDescent="0.25">
      <c r="A489" t="s">
        <v>371</v>
      </c>
      <c r="B489" s="1" t="s">
        <v>43</v>
      </c>
      <c r="C489" t="s">
        <v>289</v>
      </c>
      <c r="D489" s="1" t="s">
        <v>185</v>
      </c>
      <c r="E489">
        <v>72.882000000000005</v>
      </c>
      <c r="F489">
        <v>72.935000000000002</v>
      </c>
      <c r="G489">
        <v>72.983999999999995</v>
      </c>
      <c r="H489">
        <v>72.658000000000001</v>
      </c>
      <c r="I489">
        <v>72.835999999999999</v>
      </c>
      <c r="J489">
        <v>72.644999999999996</v>
      </c>
      <c r="K489">
        <v>71.111000000000004</v>
      </c>
      <c r="L489">
        <v>73.331000000000003</v>
      </c>
      <c r="M489">
        <v>73.489999999999995</v>
      </c>
      <c r="N489" t="s">
        <v>432</v>
      </c>
    </row>
    <row r="490" spans="1:14" x14ac:dyDescent="0.25">
      <c r="A490" t="s">
        <v>417</v>
      </c>
      <c r="B490" s="1" t="s">
        <v>71</v>
      </c>
      <c r="C490" t="s">
        <v>299</v>
      </c>
      <c r="D490" s="1" t="s">
        <v>87</v>
      </c>
      <c r="E490">
        <v>249.46418761999999</v>
      </c>
      <c r="F490">
        <v>240.40258789000001</v>
      </c>
      <c r="G490">
        <v>223.85903931000001</v>
      </c>
      <c r="H490">
        <v>215.418396</v>
      </c>
      <c r="I490">
        <v>212.60031128</v>
      </c>
      <c r="J490">
        <v>250.40145874000001</v>
      </c>
      <c r="K490">
        <v>285.25247192</v>
      </c>
      <c r="L490">
        <v>276.46380614999998</v>
      </c>
      <c r="M490">
        <v>317.70983887</v>
      </c>
      <c r="N490" t="s">
        <v>432</v>
      </c>
    </row>
    <row r="491" spans="1:14" x14ac:dyDescent="0.25">
      <c r="A491" t="s">
        <v>417</v>
      </c>
      <c r="B491" s="1" t="s">
        <v>71</v>
      </c>
      <c r="C491" t="s">
        <v>289</v>
      </c>
      <c r="D491" s="1" t="s">
        <v>185</v>
      </c>
      <c r="E491">
        <v>74.875</v>
      </c>
      <c r="F491">
        <v>75.007000000000005</v>
      </c>
      <c r="G491">
        <v>75.177000000000007</v>
      </c>
      <c r="H491">
        <v>75.37</v>
      </c>
      <c r="I491">
        <v>75.599000000000004</v>
      </c>
      <c r="J491">
        <v>75.004000000000005</v>
      </c>
      <c r="K491">
        <v>72.893000000000001</v>
      </c>
      <c r="L491">
        <v>76.05</v>
      </c>
      <c r="M491">
        <v>76.507999999999996</v>
      </c>
      <c r="N491" t="s">
        <v>432</v>
      </c>
    </row>
    <row r="492" spans="1:14" x14ac:dyDescent="0.25">
      <c r="A492" t="s">
        <v>50</v>
      </c>
      <c r="B492" s="1" t="s">
        <v>258</v>
      </c>
      <c r="C492" t="s">
        <v>299</v>
      </c>
      <c r="D492" s="1" t="s">
        <v>87</v>
      </c>
      <c r="E492">
        <v>444.70803833000002</v>
      </c>
      <c r="F492">
        <v>456.36596680000002</v>
      </c>
      <c r="G492">
        <v>432.13754272</v>
      </c>
      <c r="H492">
        <v>380.27835083000002</v>
      </c>
      <c r="I492">
        <v>388.67486572000001</v>
      </c>
      <c r="J492">
        <v>386.25936890000003</v>
      </c>
      <c r="K492">
        <v>431.33978271000001</v>
      </c>
      <c r="L492">
        <v>385.87997437000001</v>
      </c>
      <c r="M492">
        <v>547.81457520000004</v>
      </c>
      <c r="N492" t="s">
        <v>432</v>
      </c>
    </row>
    <row r="493" spans="1:14" x14ac:dyDescent="0.25">
      <c r="A493" t="s">
        <v>50</v>
      </c>
      <c r="B493" s="1" t="s">
        <v>258</v>
      </c>
      <c r="C493" t="s">
        <v>289</v>
      </c>
      <c r="D493" s="1" t="s">
        <v>185</v>
      </c>
      <c r="E493">
        <v>76.539000000000001</v>
      </c>
      <c r="F493">
        <v>76.594999999999999</v>
      </c>
      <c r="G493">
        <v>77.037000000000006</v>
      </c>
      <c r="H493">
        <v>77.453999999999994</v>
      </c>
      <c r="I493">
        <v>77.736999999999995</v>
      </c>
      <c r="J493">
        <v>76.525000000000006</v>
      </c>
      <c r="K493">
        <v>75.721999999999994</v>
      </c>
      <c r="L493">
        <v>77.590999999999994</v>
      </c>
      <c r="M493">
        <v>77.156000000000006</v>
      </c>
      <c r="N493" t="s">
        <v>432</v>
      </c>
    </row>
    <row r="494" spans="1:14" x14ac:dyDescent="0.25">
      <c r="A494" t="s">
        <v>321</v>
      </c>
      <c r="B494" s="1" t="s">
        <v>32</v>
      </c>
      <c r="C494" t="s">
        <v>299</v>
      </c>
      <c r="D494" s="1" t="s">
        <v>87</v>
      </c>
      <c r="E494">
        <v>362.72949218999997</v>
      </c>
      <c r="F494">
        <v>376.65567017000001</v>
      </c>
      <c r="G494">
        <v>410.81082153</v>
      </c>
      <c r="H494">
        <v>411.32562256</v>
      </c>
      <c r="I494">
        <v>432.78118896000001</v>
      </c>
      <c r="J494">
        <v>420.00833130000001</v>
      </c>
      <c r="K494">
        <v>471.86325073</v>
      </c>
      <c r="L494">
        <v>579.15454102000001</v>
      </c>
      <c r="M494">
        <v>581.38220215000001</v>
      </c>
      <c r="N494" t="s">
        <v>432</v>
      </c>
    </row>
    <row r="495" spans="1:14" x14ac:dyDescent="0.25">
      <c r="A495" t="s">
        <v>321</v>
      </c>
      <c r="B495" s="1" t="s">
        <v>32</v>
      </c>
      <c r="C495" t="s">
        <v>289</v>
      </c>
      <c r="D495" s="1" t="s">
        <v>185</v>
      </c>
      <c r="E495">
        <v>69.061000000000007</v>
      </c>
      <c r="F495">
        <v>69.141999999999996</v>
      </c>
      <c r="G495">
        <v>69.19</v>
      </c>
      <c r="H495">
        <v>69.272000000000006</v>
      </c>
      <c r="I495">
        <v>69.405000000000001</v>
      </c>
      <c r="J495">
        <v>68.846000000000004</v>
      </c>
      <c r="K495">
        <v>69.352999999999994</v>
      </c>
      <c r="L495">
        <v>69.912999999999997</v>
      </c>
      <c r="M495">
        <v>70.072999999999993</v>
      </c>
      <c r="N495" t="s">
        <v>432</v>
      </c>
    </row>
    <row r="496" spans="1:14" x14ac:dyDescent="0.25">
      <c r="A496" t="s">
        <v>573</v>
      </c>
      <c r="B496" s="1" t="s">
        <v>574</v>
      </c>
      <c r="C496" t="s">
        <v>299</v>
      </c>
      <c r="D496" s="1" t="s">
        <v>87</v>
      </c>
      <c r="E496" t="s">
        <v>432</v>
      </c>
      <c r="F496" t="s">
        <v>432</v>
      </c>
      <c r="G496" t="s">
        <v>432</v>
      </c>
      <c r="H496" t="s">
        <v>432</v>
      </c>
      <c r="I496" t="s">
        <v>432</v>
      </c>
      <c r="J496" t="s">
        <v>432</v>
      </c>
      <c r="K496" t="s">
        <v>432</v>
      </c>
      <c r="L496" t="s">
        <v>432</v>
      </c>
      <c r="M496" t="s">
        <v>432</v>
      </c>
      <c r="N496" t="s">
        <v>432</v>
      </c>
    </row>
    <row r="497" spans="1:14" x14ac:dyDescent="0.25">
      <c r="A497" t="s">
        <v>573</v>
      </c>
      <c r="B497" s="1" t="s">
        <v>574</v>
      </c>
      <c r="C497" t="s">
        <v>289</v>
      </c>
      <c r="D497" s="1" t="s">
        <v>185</v>
      </c>
      <c r="E497">
        <v>77.320999999999998</v>
      </c>
      <c r="F497">
        <v>77.436999999999998</v>
      </c>
      <c r="G497">
        <v>77.504999999999995</v>
      </c>
      <c r="H497">
        <v>77.596000000000004</v>
      </c>
      <c r="I497">
        <v>77.691000000000003</v>
      </c>
      <c r="J497">
        <v>77.498999999999995</v>
      </c>
      <c r="K497">
        <v>77.233999999999995</v>
      </c>
      <c r="L497">
        <v>77.918000000000006</v>
      </c>
      <c r="M497">
        <v>78.007999999999996</v>
      </c>
      <c r="N497" t="s">
        <v>432</v>
      </c>
    </row>
    <row r="498" spans="1:14" x14ac:dyDescent="0.25">
      <c r="A498" t="s">
        <v>85</v>
      </c>
      <c r="B498" s="1" t="s">
        <v>415</v>
      </c>
      <c r="C498" t="s">
        <v>299</v>
      </c>
      <c r="D498" s="1" t="s">
        <v>87</v>
      </c>
      <c r="E498">
        <v>451.35287476000002</v>
      </c>
      <c r="F498">
        <v>697.99798583999996</v>
      </c>
      <c r="G498">
        <v>1017.4963378899999</v>
      </c>
      <c r="H498">
        <v>819.41162109000004</v>
      </c>
      <c r="I498">
        <v>1138.8261718799999</v>
      </c>
      <c r="J498">
        <v>899.59460449000005</v>
      </c>
      <c r="K498">
        <v>1122.3992919899999</v>
      </c>
      <c r="L498">
        <v>1300.4667968799999</v>
      </c>
      <c r="M498">
        <v>1723.56542969</v>
      </c>
      <c r="N498" t="s">
        <v>432</v>
      </c>
    </row>
    <row r="499" spans="1:14" x14ac:dyDescent="0.25">
      <c r="A499" t="s">
        <v>85</v>
      </c>
      <c r="B499" s="1" t="s">
        <v>415</v>
      </c>
      <c r="C499" t="s">
        <v>289</v>
      </c>
      <c r="D499" s="1" t="s">
        <v>185</v>
      </c>
      <c r="E499">
        <v>65.364999999999995</v>
      </c>
      <c r="F499">
        <v>65.510000000000005</v>
      </c>
      <c r="G499">
        <v>65.683000000000007</v>
      </c>
      <c r="H499">
        <v>65.870999999999995</v>
      </c>
      <c r="I499">
        <v>66.108999999999995</v>
      </c>
      <c r="J499">
        <v>66.356999999999999</v>
      </c>
      <c r="K499">
        <v>65.823999999999998</v>
      </c>
      <c r="L499">
        <v>66.852000000000004</v>
      </c>
      <c r="M499">
        <v>67.105000000000004</v>
      </c>
      <c r="N499" t="s">
        <v>432</v>
      </c>
    </row>
    <row r="500" spans="1:14" x14ac:dyDescent="0.25">
      <c r="A500" t="s">
        <v>192</v>
      </c>
      <c r="B500" s="1" t="s">
        <v>315</v>
      </c>
      <c r="C500" t="s">
        <v>299</v>
      </c>
      <c r="D500" s="1" t="s">
        <v>87</v>
      </c>
      <c r="E500">
        <v>40.098434449999999</v>
      </c>
      <c r="F500">
        <v>39.081253050000001</v>
      </c>
      <c r="G500">
        <v>31.438180920000001</v>
      </c>
      <c r="H500">
        <v>32.951568600000002</v>
      </c>
      <c r="I500">
        <v>33.365596770000003</v>
      </c>
      <c r="J500">
        <v>44.733818049999996</v>
      </c>
      <c r="K500">
        <v>51.034847259999999</v>
      </c>
      <c r="L500">
        <v>44.472862239999998</v>
      </c>
      <c r="M500">
        <v>45.21318436</v>
      </c>
      <c r="N500" t="s">
        <v>432</v>
      </c>
    </row>
    <row r="501" spans="1:14" x14ac:dyDescent="0.25">
      <c r="A501" t="s">
        <v>192</v>
      </c>
      <c r="B501" s="1" t="s">
        <v>315</v>
      </c>
      <c r="C501" t="s">
        <v>289</v>
      </c>
      <c r="D501" s="1" t="s">
        <v>185</v>
      </c>
      <c r="E501">
        <v>63.831000000000003</v>
      </c>
      <c r="F501">
        <v>64.494</v>
      </c>
      <c r="G501">
        <v>65.174000000000007</v>
      </c>
      <c r="H501">
        <v>65.775000000000006</v>
      </c>
      <c r="I501">
        <v>66.353999999999999</v>
      </c>
      <c r="J501">
        <v>66.41</v>
      </c>
      <c r="K501">
        <v>66.45</v>
      </c>
      <c r="L501">
        <v>67.674999999999997</v>
      </c>
      <c r="M501">
        <v>68.251999999999995</v>
      </c>
      <c r="N501" t="s">
        <v>432</v>
      </c>
    </row>
    <row r="502" spans="1:14" x14ac:dyDescent="0.25">
      <c r="A502" t="s">
        <v>122</v>
      </c>
      <c r="B502" s="1" t="s">
        <v>259</v>
      </c>
      <c r="C502" t="s">
        <v>299</v>
      </c>
      <c r="D502" s="1" t="s">
        <v>87</v>
      </c>
      <c r="E502">
        <v>154.75454712000001</v>
      </c>
      <c r="F502">
        <v>154.5546875</v>
      </c>
      <c r="G502">
        <v>183.69506835999999</v>
      </c>
      <c r="H502">
        <v>217.73760985999999</v>
      </c>
      <c r="I502">
        <v>242.81388855</v>
      </c>
      <c r="J502">
        <v>265.07846068999999</v>
      </c>
      <c r="K502">
        <v>369.90487671</v>
      </c>
      <c r="L502" t="s">
        <v>432</v>
      </c>
      <c r="M502" t="s">
        <v>432</v>
      </c>
      <c r="N502" t="s">
        <v>432</v>
      </c>
    </row>
    <row r="503" spans="1:14" x14ac:dyDescent="0.25">
      <c r="A503" t="s">
        <v>122</v>
      </c>
      <c r="B503" s="1" t="s">
        <v>259</v>
      </c>
      <c r="C503" t="s">
        <v>289</v>
      </c>
      <c r="D503" s="1" t="s">
        <v>185</v>
      </c>
      <c r="E503">
        <v>72.686000000000007</v>
      </c>
      <c r="F503">
        <v>73.388999999999996</v>
      </c>
      <c r="G503">
        <v>73.992999999999995</v>
      </c>
      <c r="H503">
        <v>73.569000000000003</v>
      </c>
      <c r="I503">
        <v>73.92</v>
      </c>
      <c r="J503">
        <v>73.283000000000001</v>
      </c>
      <c r="K503">
        <v>71.631</v>
      </c>
      <c r="L503">
        <v>72.658000000000001</v>
      </c>
      <c r="M503">
        <v>73.421999999999997</v>
      </c>
      <c r="N503" t="s">
        <v>432</v>
      </c>
    </row>
    <row r="504" spans="1:14" x14ac:dyDescent="0.25">
      <c r="A504" t="s">
        <v>37</v>
      </c>
      <c r="B504" s="1" t="s">
        <v>174</v>
      </c>
      <c r="C504" t="s">
        <v>299</v>
      </c>
      <c r="D504" s="1" t="s">
        <v>87</v>
      </c>
      <c r="E504">
        <v>1479.4974365200001</v>
      </c>
      <c r="F504">
        <v>1592.9190673799999</v>
      </c>
      <c r="G504">
        <v>1695.203125</v>
      </c>
      <c r="H504">
        <v>1872.5842285199999</v>
      </c>
      <c r="I504">
        <v>1962.4672851600001</v>
      </c>
      <c r="J504">
        <v>2154.4111328099998</v>
      </c>
      <c r="K504">
        <v>2249.9631347700001</v>
      </c>
      <c r="L504">
        <v>2240.9050293</v>
      </c>
      <c r="M504">
        <v>2401.5202636700001</v>
      </c>
      <c r="N504" t="s">
        <v>432</v>
      </c>
    </row>
    <row r="505" spans="1:14" x14ac:dyDescent="0.25">
      <c r="A505" t="s">
        <v>37</v>
      </c>
      <c r="B505" s="1" t="s">
        <v>174</v>
      </c>
      <c r="C505" t="s">
        <v>289</v>
      </c>
      <c r="D505" s="1" t="s">
        <v>185</v>
      </c>
      <c r="E505">
        <v>82.075999999999993</v>
      </c>
      <c r="F505">
        <v>82.194999999999993</v>
      </c>
      <c r="G505">
        <v>82.388000000000005</v>
      </c>
      <c r="H505">
        <v>82.448999999999998</v>
      </c>
      <c r="I505">
        <v>82.596000000000004</v>
      </c>
      <c r="J505">
        <v>81.936000000000007</v>
      </c>
      <c r="K505">
        <v>79.082999999999998</v>
      </c>
      <c r="L505">
        <v>80.486999999999995</v>
      </c>
      <c r="M505">
        <v>82.909000000000006</v>
      </c>
      <c r="N505" t="s">
        <v>432</v>
      </c>
    </row>
    <row r="506" spans="1:14" x14ac:dyDescent="0.25">
      <c r="A506" t="s">
        <v>198</v>
      </c>
      <c r="B506" s="1" t="s">
        <v>187</v>
      </c>
      <c r="C506" t="s">
        <v>299</v>
      </c>
      <c r="D506" s="1" t="s">
        <v>87</v>
      </c>
      <c r="E506">
        <v>4470.0922851599998</v>
      </c>
      <c r="F506">
        <v>4043.3525390599998</v>
      </c>
      <c r="G506">
        <v>3938.65234375</v>
      </c>
      <c r="H506">
        <v>4233.6298828099998</v>
      </c>
      <c r="I506">
        <v>4260.0322265599998</v>
      </c>
      <c r="J506">
        <v>4865.9780273400002</v>
      </c>
      <c r="K506">
        <v>5645.4013671900002</v>
      </c>
      <c r="L506">
        <v>5111.8173828099998</v>
      </c>
      <c r="M506">
        <v>5407.1704101599998</v>
      </c>
      <c r="N506">
        <v>5860.2392578099998</v>
      </c>
    </row>
    <row r="507" spans="1:14" x14ac:dyDescent="0.25">
      <c r="A507" t="s">
        <v>198</v>
      </c>
      <c r="B507" s="1" t="s">
        <v>187</v>
      </c>
      <c r="C507" t="s">
        <v>289</v>
      </c>
      <c r="D507" s="1" t="s">
        <v>185</v>
      </c>
      <c r="E507">
        <v>80.956097560975621</v>
      </c>
      <c r="F507">
        <v>81.156097560975624</v>
      </c>
      <c r="G507">
        <v>81.256097560975604</v>
      </c>
      <c r="H507">
        <v>81.256097560975604</v>
      </c>
      <c r="I507">
        <v>81.369121951219526</v>
      </c>
      <c r="J507">
        <v>80.331756097560984</v>
      </c>
      <c r="K507">
        <v>80.64731707317074</v>
      </c>
      <c r="L507">
        <v>81.011219512195112</v>
      </c>
      <c r="M507">
        <v>81.238097560975604</v>
      </c>
      <c r="N507" t="s">
        <v>432</v>
      </c>
    </row>
    <row r="508" spans="1:14" x14ac:dyDescent="0.25">
      <c r="A508" t="s">
        <v>204</v>
      </c>
      <c r="B508" s="1" t="s">
        <v>40</v>
      </c>
      <c r="C508" t="s">
        <v>299</v>
      </c>
      <c r="D508" s="1" t="s">
        <v>87</v>
      </c>
      <c r="E508">
        <v>9200.9316406300004</v>
      </c>
      <c r="F508">
        <v>9535.6005859399993</v>
      </c>
      <c r="G508">
        <v>9822.6064453100007</v>
      </c>
      <c r="H508">
        <v>10180.48242188</v>
      </c>
      <c r="I508">
        <v>10550.22070313</v>
      </c>
      <c r="J508">
        <v>11648.495117189999</v>
      </c>
      <c r="K508">
        <v>12080.073242189999</v>
      </c>
      <c r="L508">
        <v>12586.196289060001</v>
      </c>
      <c r="M508">
        <v>13473.19335938</v>
      </c>
      <c r="N508" t="s">
        <v>432</v>
      </c>
    </row>
    <row r="509" spans="1:14" x14ac:dyDescent="0.25">
      <c r="A509" t="s">
        <v>204</v>
      </c>
      <c r="B509" s="1" t="s">
        <v>40</v>
      </c>
      <c r="C509" t="s">
        <v>289</v>
      </c>
      <c r="D509" s="1" t="s">
        <v>185</v>
      </c>
      <c r="E509">
        <v>78.690243902439036</v>
      </c>
      <c r="F509">
        <v>78.53902439024391</v>
      </c>
      <c r="G509">
        <v>78.53902439024391</v>
      </c>
      <c r="H509">
        <v>78.639024390243918</v>
      </c>
      <c r="I509">
        <v>78.787804878048775</v>
      </c>
      <c r="J509">
        <v>76.980487804878052</v>
      </c>
      <c r="K509">
        <v>76.329268292682926</v>
      </c>
      <c r="L509">
        <v>77.434146341463432</v>
      </c>
      <c r="M509">
        <v>78.385365853658541</v>
      </c>
      <c r="N509" t="s">
        <v>432</v>
      </c>
    </row>
    <row r="510" spans="1:14" x14ac:dyDescent="0.25">
      <c r="A510" t="s">
        <v>575</v>
      </c>
      <c r="B510" s="1" t="s">
        <v>576</v>
      </c>
      <c r="C510" t="s">
        <v>299</v>
      </c>
      <c r="D510" s="1" t="s">
        <v>87</v>
      </c>
      <c r="E510">
        <v>410.77703772160015</v>
      </c>
      <c r="F510">
        <v>407.7184370736482</v>
      </c>
      <c r="G510">
        <v>449.47477488622212</v>
      </c>
      <c r="H510">
        <v>469.16461399760448</v>
      </c>
      <c r="I510">
        <v>484.74432733918422</v>
      </c>
      <c r="J510">
        <v>490.7563504565689</v>
      </c>
      <c r="K510">
        <v>562.45826591524326</v>
      </c>
      <c r="L510">
        <v>618.84502765484001</v>
      </c>
      <c r="M510">
        <v>647.66878576417116</v>
      </c>
      <c r="N510" t="s">
        <v>432</v>
      </c>
    </row>
    <row r="511" spans="1:14" x14ac:dyDescent="0.25">
      <c r="A511" t="s">
        <v>575</v>
      </c>
      <c r="B511" s="1" t="s">
        <v>576</v>
      </c>
      <c r="C511" t="s">
        <v>289</v>
      </c>
      <c r="D511" s="1" t="s">
        <v>185</v>
      </c>
      <c r="E511">
        <v>75.175292269027111</v>
      </c>
      <c r="F511">
        <v>75.340191059377148</v>
      </c>
      <c r="G511">
        <v>75.480760842449186</v>
      </c>
      <c r="H511">
        <v>75.821743114714607</v>
      </c>
      <c r="I511">
        <v>76.029125361697581</v>
      </c>
      <c r="J511">
        <v>75.231263627276704</v>
      </c>
      <c r="K511">
        <v>74.72737132716351</v>
      </c>
      <c r="L511">
        <v>76.00895942695638</v>
      </c>
      <c r="M511">
        <v>76.194914902882104</v>
      </c>
      <c r="N511" t="s">
        <v>432</v>
      </c>
    </row>
    <row r="512" spans="1:14" x14ac:dyDescent="0.25">
      <c r="A512" t="s">
        <v>126</v>
      </c>
      <c r="B512" s="1" t="s">
        <v>148</v>
      </c>
      <c r="C512" t="s">
        <v>299</v>
      </c>
      <c r="D512" s="1" t="s">
        <v>87</v>
      </c>
      <c r="E512">
        <v>1424.8939209</v>
      </c>
      <c r="F512">
        <v>1469.38964844</v>
      </c>
      <c r="G512">
        <v>1672.3314209</v>
      </c>
      <c r="H512">
        <v>1713.2661132799999</v>
      </c>
      <c r="I512">
        <v>1692.5019531299999</v>
      </c>
      <c r="J512">
        <v>1432.0046386700001</v>
      </c>
      <c r="K512">
        <v>1594.9805908200001</v>
      </c>
      <c r="L512">
        <v>1850.80737305</v>
      </c>
      <c r="M512">
        <v>2076.0942382799999</v>
      </c>
      <c r="N512" t="s">
        <v>432</v>
      </c>
    </row>
    <row r="513" spans="1:14" x14ac:dyDescent="0.25">
      <c r="A513" t="s">
        <v>126</v>
      </c>
      <c r="B513" s="1" t="s">
        <v>148</v>
      </c>
      <c r="C513" t="s">
        <v>289</v>
      </c>
      <c r="D513" s="1" t="s">
        <v>185</v>
      </c>
      <c r="E513">
        <v>77.284999999999997</v>
      </c>
      <c r="F513">
        <v>77.350999999999999</v>
      </c>
      <c r="G513">
        <v>77.617999999999995</v>
      </c>
      <c r="H513">
        <v>77.527000000000001</v>
      </c>
      <c r="I513">
        <v>77.503</v>
      </c>
      <c r="J513">
        <v>78.381</v>
      </c>
      <c r="K513">
        <v>75.433999999999997</v>
      </c>
      <c r="L513">
        <v>76.468000000000004</v>
      </c>
      <c r="M513">
        <v>78.138000000000005</v>
      </c>
      <c r="N513" t="s">
        <v>432</v>
      </c>
    </row>
    <row r="514" spans="1:14" x14ac:dyDescent="0.25">
      <c r="A514" t="s">
        <v>160</v>
      </c>
      <c r="B514" s="1" t="s">
        <v>241</v>
      </c>
      <c r="C514" t="s">
        <v>299</v>
      </c>
      <c r="D514" s="1" t="s">
        <v>87</v>
      </c>
      <c r="E514">
        <v>132.60565185999999</v>
      </c>
      <c r="F514">
        <v>129.82177734000001</v>
      </c>
      <c r="G514">
        <v>93.415153500000002</v>
      </c>
      <c r="H514">
        <v>82.530387880000006</v>
      </c>
      <c r="I514">
        <v>98.6240387</v>
      </c>
      <c r="J514">
        <v>120.29019165</v>
      </c>
      <c r="K514">
        <v>156.44789123999999</v>
      </c>
      <c r="L514">
        <v>170.64073181000001</v>
      </c>
      <c r="M514">
        <v>192.11869812</v>
      </c>
      <c r="N514" t="s">
        <v>432</v>
      </c>
    </row>
    <row r="515" spans="1:14" x14ac:dyDescent="0.25">
      <c r="A515" t="s">
        <v>160</v>
      </c>
      <c r="B515" s="1" t="s">
        <v>241</v>
      </c>
      <c r="C515" t="s">
        <v>289</v>
      </c>
      <c r="D515" s="1" t="s">
        <v>185</v>
      </c>
      <c r="E515">
        <v>71.33</v>
      </c>
      <c r="F515">
        <v>71.58</v>
      </c>
      <c r="G515">
        <v>71.736999999999995</v>
      </c>
      <c r="H515">
        <v>71.998999999999995</v>
      </c>
      <c r="I515">
        <v>72.093000000000004</v>
      </c>
      <c r="J515">
        <v>71.460999999999999</v>
      </c>
      <c r="K515">
        <v>71.680999999999997</v>
      </c>
      <c r="L515">
        <v>72.147000000000006</v>
      </c>
      <c r="M515">
        <v>72.388000000000005</v>
      </c>
      <c r="N515" t="s">
        <v>432</v>
      </c>
    </row>
    <row r="516" spans="1:14" x14ac:dyDescent="0.25">
      <c r="A516" t="s">
        <v>365</v>
      </c>
      <c r="B516" s="1" t="s">
        <v>336</v>
      </c>
      <c r="C516" t="s">
        <v>299</v>
      </c>
      <c r="D516" s="1" t="s">
        <v>87</v>
      </c>
      <c r="E516">
        <v>118.71543121000001</v>
      </c>
      <c r="F516">
        <v>88.359985350000002</v>
      </c>
      <c r="G516">
        <v>91.041282649999999</v>
      </c>
      <c r="H516">
        <v>110.32492065</v>
      </c>
      <c r="I516">
        <v>112.13746643</v>
      </c>
      <c r="J516">
        <v>125.41011047000001</v>
      </c>
      <c r="K516">
        <v>142.56698607999999</v>
      </c>
      <c r="L516">
        <v>136.79508971999999</v>
      </c>
      <c r="M516">
        <v>143.43753052</v>
      </c>
      <c r="N516" t="s">
        <v>432</v>
      </c>
    </row>
    <row r="517" spans="1:14" x14ac:dyDescent="0.25">
      <c r="A517" t="s">
        <v>365</v>
      </c>
      <c r="B517" s="1" t="s">
        <v>336</v>
      </c>
      <c r="C517" t="s">
        <v>289</v>
      </c>
      <c r="D517" s="1" t="s">
        <v>185</v>
      </c>
      <c r="E517">
        <v>70.162999999999997</v>
      </c>
      <c r="F517">
        <v>70.397000000000006</v>
      </c>
      <c r="G517">
        <v>70.5</v>
      </c>
      <c r="H517">
        <v>70.626000000000005</v>
      </c>
      <c r="I517">
        <v>70.783000000000001</v>
      </c>
      <c r="J517">
        <v>70.385000000000005</v>
      </c>
      <c r="K517">
        <v>69.951999999999998</v>
      </c>
      <c r="L517">
        <v>71.302000000000007</v>
      </c>
      <c r="M517">
        <v>71.477000000000004</v>
      </c>
      <c r="N517" t="s">
        <v>432</v>
      </c>
    </row>
    <row r="518" spans="1:14" x14ac:dyDescent="0.25">
      <c r="A518" t="s">
        <v>265</v>
      </c>
      <c r="B518" s="1" t="s">
        <v>278</v>
      </c>
      <c r="C518" t="s">
        <v>299</v>
      </c>
      <c r="D518" s="1" t="s">
        <v>87</v>
      </c>
      <c r="E518" t="s">
        <v>432</v>
      </c>
      <c r="F518" t="s">
        <v>432</v>
      </c>
      <c r="G518" t="s">
        <v>432</v>
      </c>
      <c r="H518">
        <v>164.68154906999999</v>
      </c>
      <c r="I518">
        <v>112.72974395999999</v>
      </c>
      <c r="J518">
        <v>153.21711730999999</v>
      </c>
      <c r="K518">
        <v>162.43952942000001</v>
      </c>
      <c r="L518">
        <v>208.66654968</v>
      </c>
      <c r="M518">
        <v>185.99124146</v>
      </c>
      <c r="N518" t="s">
        <v>432</v>
      </c>
    </row>
    <row r="519" spans="1:14" x14ac:dyDescent="0.25">
      <c r="A519" t="s">
        <v>265</v>
      </c>
      <c r="B519" s="1" t="s">
        <v>278</v>
      </c>
      <c r="C519" t="s">
        <v>289</v>
      </c>
      <c r="D519" s="1" t="s">
        <v>185</v>
      </c>
      <c r="E519">
        <v>73.004000000000005</v>
      </c>
      <c r="F519">
        <v>72.001999999999995</v>
      </c>
      <c r="G519">
        <v>71.903000000000006</v>
      </c>
      <c r="H519">
        <v>72.641000000000005</v>
      </c>
      <c r="I519">
        <v>72.766000000000005</v>
      </c>
      <c r="J519">
        <v>72.369</v>
      </c>
      <c r="K519">
        <v>71.536000000000001</v>
      </c>
      <c r="L519">
        <v>72.566000000000003</v>
      </c>
      <c r="M519">
        <v>72.513999999999996</v>
      </c>
      <c r="N519" t="s">
        <v>432</v>
      </c>
    </row>
    <row r="520" spans="1:14" x14ac:dyDescent="0.25">
      <c r="A520" t="s">
        <v>322</v>
      </c>
      <c r="B520" s="1" t="s">
        <v>416</v>
      </c>
      <c r="C520" t="s">
        <v>299</v>
      </c>
      <c r="D520" s="1" t="s">
        <v>87</v>
      </c>
      <c r="E520">
        <v>121.43981171</v>
      </c>
      <c r="F520">
        <v>133.1960144</v>
      </c>
      <c r="G520">
        <v>147.51425171</v>
      </c>
      <c r="H520">
        <v>161.97871398999999</v>
      </c>
      <c r="I520">
        <v>171.15296935999999</v>
      </c>
      <c r="J520">
        <v>153.10160827999999</v>
      </c>
      <c r="K520">
        <v>168.09350585999999</v>
      </c>
      <c r="L520">
        <v>188.22650146000001</v>
      </c>
      <c r="M520">
        <v>197.19210815</v>
      </c>
      <c r="N520" t="s">
        <v>432</v>
      </c>
    </row>
    <row r="521" spans="1:14" x14ac:dyDescent="0.25">
      <c r="A521" t="s">
        <v>322</v>
      </c>
      <c r="B521" s="1" t="s">
        <v>416</v>
      </c>
      <c r="C521" t="s">
        <v>289</v>
      </c>
      <c r="D521" s="1" t="s">
        <v>185</v>
      </c>
      <c r="E521">
        <v>73.954999999999998</v>
      </c>
      <c r="F521">
        <v>73.983999999999995</v>
      </c>
      <c r="G521">
        <v>74.025999999999996</v>
      </c>
      <c r="H521">
        <v>74.099999999999994</v>
      </c>
      <c r="I521">
        <v>74.210999999999999</v>
      </c>
      <c r="J521">
        <v>75.382999999999996</v>
      </c>
      <c r="K521">
        <v>74.144999999999996</v>
      </c>
      <c r="L521">
        <v>74.501999999999995</v>
      </c>
      <c r="M521">
        <v>74.587999999999994</v>
      </c>
      <c r="N521" t="s">
        <v>432</v>
      </c>
    </row>
    <row r="522" spans="1:14" x14ac:dyDescent="0.25">
      <c r="A522" t="s">
        <v>577</v>
      </c>
      <c r="B522" s="1" t="s">
        <v>578</v>
      </c>
      <c r="C522" t="s">
        <v>299</v>
      </c>
      <c r="D522" s="1" t="s">
        <v>87</v>
      </c>
      <c r="E522" t="s">
        <v>432</v>
      </c>
      <c r="F522" t="s">
        <v>432</v>
      </c>
      <c r="G522" t="s">
        <v>432</v>
      </c>
      <c r="H522" t="s">
        <v>432</v>
      </c>
      <c r="I522" t="s">
        <v>432</v>
      </c>
      <c r="J522" t="s">
        <v>432</v>
      </c>
      <c r="K522" t="s">
        <v>432</v>
      </c>
      <c r="L522" t="s">
        <v>432</v>
      </c>
      <c r="M522" t="s">
        <v>432</v>
      </c>
      <c r="N522" t="s">
        <v>432</v>
      </c>
    </row>
    <row r="523" spans="1:14" x14ac:dyDescent="0.25">
      <c r="A523" t="s">
        <v>577</v>
      </c>
      <c r="B523" s="1" t="s">
        <v>578</v>
      </c>
      <c r="C523" t="s">
        <v>289</v>
      </c>
      <c r="D523" s="1" t="s">
        <v>185</v>
      </c>
      <c r="E523">
        <v>79.01707317073172</v>
      </c>
      <c r="F523">
        <v>79.168292682926847</v>
      </c>
      <c r="G523">
        <v>79.368292682926835</v>
      </c>
      <c r="H523">
        <v>79.519512195121948</v>
      </c>
      <c r="I523">
        <v>79.668292682926833</v>
      </c>
      <c r="J523">
        <v>79.819512195121959</v>
      </c>
      <c r="K523">
        <v>80.068292682926824</v>
      </c>
      <c r="L523">
        <v>80.319512195121959</v>
      </c>
      <c r="M523">
        <v>80.519512195121962</v>
      </c>
      <c r="N523" t="s">
        <v>432</v>
      </c>
    </row>
    <row r="524" spans="1:14" x14ac:dyDescent="0.25">
      <c r="A524" t="s">
        <v>579</v>
      </c>
      <c r="B524" s="1" t="s">
        <v>580</v>
      </c>
      <c r="C524" t="s">
        <v>299</v>
      </c>
      <c r="D524" s="1" t="s">
        <v>87</v>
      </c>
      <c r="E524">
        <v>286.91394043000003</v>
      </c>
      <c r="F524">
        <v>299.41250609999997</v>
      </c>
      <c r="G524">
        <v>310.21145630000001</v>
      </c>
      <c r="H524">
        <v>324.02166748000002</v>
      </c>
      <c r="I524">
        <v>317.45007323999999</v>
      </c>
      <c r="J524">
        <v>314.82254028</v>
      </c>
      <c r="K524">
        <v>364.41735840000001</v>
      </c>
      <c r="L524">
        <v>350.63812256</v>
      </c>
      <c r="M524">
        <v>345.67965698</v>
      </c>
      <c r="N524" t="s">
        <v>432</v>
      </c>
    </row>
    <row r="525" spans="1:14" x14ac:dyDescent="0.25">
      <c r="A525" t="s">
        <v>579</v>
      </c>
      <c r="B525" s="1" t="s">
        <v>580</v>
      </c>
      <c r="C525" t="s">
        <v>289</v>
      </c>
      <c r="D525" s="1" t="s">
        <v>185</v>
      </c>
      <c r="E525">
        <v>74.576999999999998</v>
      </c>
      <c r="F525">
        <v>74.917000000000002</v>
      </c>
      <c r="G525">
        <v>75.215999999999994</v>
      </c>
      <c r="H525">
        <v>75.38</v>
      </c>
      <c r="I525">
        <v>75.811000000000007</v>
      </c>
      <c r="J525">
        <v>74.998000000000005</v>
      </c>
      <c r="K525">
        <v>73.89</v>
      </c>
      <c r="L525">
        <v>76.662000000000006</v>
      </c>
      <c r="M525">
        <v>65.17</v>
      </c>
      <c r="N525" t="s">
        <v>432</v>
      </c>
    </row>
    <row r="526" spans="1:14" x14ac:dyDescent="0.25">
      <c r="A526" t="s">
        <v>581</v>
      </c>
      <c r="B526" s="1" t="s">
        <v>582</v>
      </c>
      <c r="C526" t="s">
        <v>299</v>
      </c>
      <c r="D526" s="1" t="s">
        <v>87</v>
      </c>
      <c r="E526">
        <v>974.63992640634171</v>
      </c>
      <c r="F526">
        <v>991.69639207818909</v>
      </c>
      <c r="G526">
        <v>1028.3271582725292</v>
      </c>
      <c r="H526">
        <v>1067.3834871047379</v>
      </c>
      <c r="I526">
        <v>1084.4930643909738</v>
      </c>
      <c r="J526">
        <v>1159.5728531122727</v>
      </c>
      <c r="K526">
        <v>1257.4739162847256</v>
      </c>
      <c r="L526">
        <v>1266.0555528082791</v>
      </c>
      <c r="M526">
        <v>1317.1671582956021</v>
      </c>
      <c r="N526" t="s">
        <v>432</v>
      </c>
    </row>
    <row r="527" spans="1:14" x14ac:dyDescent="0.25">
      <c r="A527" t="s">
        <v>581</v>
      </c>
      <c r="B527" s="1" t="s">
        <v>582</v>
      </c>
      <c r="C527" t="s">
        <v>289</v>
      </c>
      <c r="D527" s="1" t="s">
        <v>185</v>
      </c>
      <c r="E527">
        <v>71.964626147458901</v>
      </c>
      <c r="F527">
        <v>72.184734507999508</v>
      </c>
      <c r="G527">
        <v>72.365151543159143</v>
      </c>
      <c r="H527">
        <v>72.643390495239785</v>
      </c>
      <c r="I527">
        <v>72.868656850162367</v>
      </c>
      <c r="J527">
        <v>72.181979200681852</v>
      </c>
      <c r="K527">
        <v>71.215219246160217</v>
      </c>
      <c r="L527">
        <v>72.968290255063565</v>
      </c>
      <c r="M527">
        <v>73.328950154484474</v>
      </c>
      <c r="N527" t="s">
        <v>432</v>
      </c>
    </row>
    <row r="528" spans="1:14" x14ac:dyDescent="0.25">
      <c r="A528" t="s">
        <v>69</v>
      </c>
      <c r="B528" s="1" t="s">
        <v>47</v>
      </c>
      <c r="C528" t="s">
        <v>299</v>
      </c>
      <c r="D528" s="1" t="s">
        <v>87</v>
      </c>
      <c r="E528">
        <v>88.407432560000004</v>
      </c>
      <c r="F528">
        <v>75.224540709999999</v>
      </c>
      <c r="G528">
        <v>87.299705509999995</v>
      </c>
      <c r="H528">
        <v>143.68727111999999</v>
      </c>
      <c r="I528">
        <v>80.947593690000005</v>
      </c>
      <c r="J528">
        <v>65.177047729999998</v>
      </c>
      <c r="K528">
        <v>49.301052089999999</v>
      </c>
      <c r="L528">
        <v>54.290363309999996</v>
      </c>
      <c r="M528">
        <v>47.781097410000001</v>
      </c>
      <c r="N528" t="s">
        <v>432</v>
      </c>
    </row>
    <row r="529" spans="1:14" x14ac:dyDescent="0.25">
      <c r="A529" t="s">
        <v>69</v>
      </c>
      <c r="B529" s="1" t="s">
        <v>47</v>
      </c>
      <c r="C529" t="s">
        <v>289</v>
      </c>
      <c r="D529" s="1" t="s">
        <v>185</v>
      </c>
      <c r="E529">
        <v>66.760999999999996</v>
      </c>
      <c r="F529">
        <v>67.105000000000004</v>
      </c>
      <c r="G529">
        <v>67.12</v>
      </c>
      <c r="H529">
        <v>65.915000000000006</v>
      </c>
      <c r="I529">
        <v>66.566999999999993</v>
      </c>
      <c r="J529">
        <v>66.435000000000002</v>
      </c>
      <c r="K529">
        <v>66.019000000000005</v>
      </c>
      <c r="L529">
        <v>67.951999999999998</v>
      </c>
      <c r="M529">
        <v>69.295000000000002</v>
      </c>
      <c r="N529" t="s">
        <v>432</v>
      </c>
    </row>
    <row r="530" spans="1:14" x14ac:dyDescent="0.25">
      <c r="A530" t="s">
        <v>269</v>
      </c>
      <c r="B530" s="1" t="s">
        <v>381</v>
      </c>
      <c r="C530" t="s">
        <v>299</v>
      </c>
      <c r="D530" s="1" t="s">
        <v>87</v>
      </c>
      <c r="E530">
        <v>57.387653350000001</v>
      </c>
      <c r="F530">
        <v>55.395320890000001</v>
      </c>
      <c r="G530">
        <v>70.932838439999998</v>
      </c>
      <c r="H530">
        <v>69.827674869999996</v>
      </c>
      <c r="I530">
        <v>85.023498540000006</v>
      </c>
      <c r="J530">
        <v>60.01779938</v>
      </c>
      <c r="K530">
        <v>74.838027949999997</v>
      </c>
      <c r="L530">
        <v>75.40128326</v>
      </c>
      <c r="M530">
        <v>79.556350710000004</v>
      </c>
      <c r="N530" t="s">
        <v>432</v>
      </c>
    </row>
    <row r="531" spans="1:14" x14ac:dyDescent="0.25">
      <c r="A531" t="s">
        <v>269</v>
      </c>
      <c r="B531" s="1" t="s">
        <v>381</v>
      </c>
      <c r="C531" t="s">
        <v>289</v>
      </c>
      <c r="D531" s="1" t="s">
        <v>185</v>
      </c>
      <c r="E531">
        <v>60.728000000000002</v>
      </c>
      <c r="F531">
        <v>61.128999999999998</v>
      </c>
      <c r="G531">
        <v>61.564</v>
      </c>
      <c r="H531">
        <v>62.137999999999998</v>
      </c>
      <c r="I531">
        <v>62.914000000000001</v>
      </c>
      <c r="J531">
        <v>63.360999999999997</v>
      </c>
      <c r="K531">
        <v>62.363</v>
      </c>
      <c r="L531">
        <v>65.278999999999996</v>
      </c>
      <c r="M531">
        <v>66.349000000000004</v>
      </c>
      <c r="N531" t="s">
        <v>432</v>
      </c>
    </row>
    <row r="532" spans="1:14" x14ac:dyDescent="0.25">
      <c r="A532" t="s">
        <v>33</v>
      </c>
      <c r="B532" s="1" t="s">
        <v>208</v>
      </c>
      <c r="C532" t="s">
        <v>299</v>
      </c>
      <c r="D532" s="1" t="s">
        <v>87</v>
      </c>
      <c r="E532">
        <v>103.31652832</v>
      </c>
      <c r="F532">
        <v>102.15909576</v>
      </c>
      <c r="G532">
        <v>91.871994020000002</v>
      </c>
      <c r="H532">
        <v>114.76815033</v>
      </c>
      <c r="I532">
        <v>55.10725403</v>
      </c>
      <c r="J532">
        <v>51.142505649999997</v>
      </c>
      <c r="K532">
        <v>60.898742679999998</v>
      </c>
      <c r="L532">
        <v>68.907279970000005</v>
      </c>
      <c r="M532">
        <v>62.929462430000001</v>
      </c>
      <c r="N532" t="s">
        <v>432</v>
      </c>
    </row>
    <row r="533" spans="1:14" x14ac:dyDescent="0.25">
      <c r="A533" t="s">
        <v>33</v>
      </c>
      <c r="B533" s="1" t="s">
        <v>208</v>
      </c>
      <c r="C533" t="s">
        <v>289</v>
      </c>
      <c r="D533" s="1" t="s">
        <v>185</v>
      </c>
      <c r="E533">
        <v>58.988999999999997</v>
      </c>
      <c r="F533">
        <v>59.76</v>
      </c>
      <c r="G533">
        <v>60.262999999999998</v>
      </c>
      <c r="H533">
        <v>60.905999999999999</v>
      </c>
      <c r="I533">
        <v>61.06</v>
      </c>
      <c r="J533">
        <v>61.53</v>
      </c>
      <c r="K533">
        <v>60.134999999999998</v>
      </c>
      <c r="L533">
        <v>62.36</v>
      </c>
      <c r="M533">
        <v>62.774999999999999</v>
      </c>
      <c r="N533" t="s">
        <v>432</v>
      </c>
    </row>
    <row r="536" spans="1:14" x14ac:dyDescent="0.25">
      <c r="A536" t="s">
        <v>583</v>
      </c>
      <c r="B536" s="1"/>
    </row>
    <row r="537" spans="1:14" x14ac:dyDescent="0.25">
      <c r="A537" t="s">
        <v>584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
  <sheetViews>
    <sheetView workbookViewId="0"/>
  </sheetViews>
  <sheetFormatPr defaultRowHeight="15" x14ac:dyDescent="0.25"/>
  <cols>
    <col min="1" max="1" width="15.85546875" customWidth="1"/>
    <col min="2" max="12" width="50.85546875" customWidth="1"/>
  </cols>
  <sheetData>
    <row r="1" spans="1:12" x14ac:dyDescent="0.25">
      <c r="A1" t="s">
        <v>104</v>
      </c>
      <c r="B1" t="s">
        <v>324</v>
      </c>
      <c r="C1" t="s">
        <v>181</v>
      </c>
      <c r="D1" t="s">
        <v>276</v>
      </c>
      <c r="E1" t="s">
        <v>202</v>
      </c>
      <c r="F1" t="s">
        <v>20</v>
      </c>
      <c r="G1" t="s">
        <v>108</v>
      </c>
      <c r="H1" t="s">
        <v>400</v>
      </c>
      <c r="I1" t="s">
        <v>201</v>
      </c>
      <c r="J1" t="s">
        <v>410</v>
      </c>
      <c r="K1" t="s">
        <v>244</v>
      </c>
      <c r="L1" t="s">
        <v>111</v>
      </c>
    </row>
    <row r="2" spans="1:12" x14ac:dyDescent="0.25">
      <c r="A2" t="s">
        <v>185</v>
      </c>
      <c r="B2" t="s">
        <v>387</v>
      </c>
      <c r="C2" t="s">
        <v>289</v>
      </c>
      <c r="D2" t="s">
        <v>180</v>
      </c>
      <c r="E2" t="s">
        <v>355</v>
      </c>
      <c r="F2" t="s">
        <v>2</v>
      </c>
      <c r="G2" t="s">
        <v>133</v>
      </c>
      <c r="H2" t="s">
        <v>140</v>
      </c>
      <c r="I2" t="s">
        <v>98</v>
      </c>
      <c r="J2" t="s">
        <v>367</v>
      </c>
      <c r="K2" t="s">
        <v>294</v>
      </c>
    </row>
    <row r="3" spans="1:12" x14ac:dyDescent="0.25">
      <c r="A3" t="s">
        <v>87</v>
      </c>
      <c r="B3" t="s">
        <v>387</v>
      </c>
      <c r="C3" t="s">
        <v>299</v>
      </c>
      <c r="D3" t="s">
        <v>238</v>
      </c>
      <c r="E3" t="s">
        <v>13</v>
      </c>
      <c r="F3" t="s">
        <v>345</v>
      </c>
      <c r="G3" t="s">
        <v>133</v>
      </c>
      <c r="H3" t="s">
        <v>140</v>
      </c>
      <c r="I3" t="s">
        <v>0</v>
      </c>
      <c r="J3" t="s">
        <v>249</v>
      </c>
      <c r="L3" t="s">
        <v>306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1913FC-BB06-44EE-AC06-0099BB51A8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Cleaned_Dataset</vt:lpstr>
      <vt:lpstr>Original_Dataset</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Adebayo</dc:creator>
  <cp:lastModifiedBy>Michael Adebayo</cp:lastModifiedBy>
  <dcterms:created xsi:type="dcterms:W3CDTF">2026-05-15T20:12:36Z</dcterms:created>
  <dcterms:modified xsi:type="dcterms:W3CDTF">2026-05-15T20:12:36Z</dcterms:modified>
</cp:coreProperties>
</file>